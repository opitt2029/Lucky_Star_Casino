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880" tabRatio="600" firstSheet="0" activeTab="2" autoFilterDateGrouping="1"/>
  </bookViews>
  <sheets>
    <sheet name="概念說明" sheetId="1" state="visible" r:id="rId1"/>
    <sheet name="老虎機" sheetId="2" state="visible" r:id="rId2"/>
    <sheet name="_DP對照表" sheetId="3" state="visible" r:id="rId3"/>
    <sheet name="捕魚機" sheetId="4" state="visible" r:id="rId4"/>
    <sheet name="百家樂" sheetId="5" state="visible" r:id="rId5"/>
    <sheet name="驗證報告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%"/>
    <numFmt numFmtId="166" formatCode="0.000"/>
    <numFmt numFmtId="167" formatCode="0.0%"/>
    <numFmt numFmtId="168" formatCode="0.000000"/>
    <numFmt numFmtId="169" formatCode="0.00000"/>
  </numFmts>
  <fonts count="14">
    <font>
      <name val="新細明體"/>
      <family val="2"/>
      <color theme="1"/>
      <sz val="11"/>
      <scheme val="minor"/>
    </font>
    <font>
      <name val="Microsoft JhengHei"/>
      <charset val="136"/>
      <family val="2"/>
      <b val="1"/>
      <color rgb="FFFFFFFF"/>
      <sz val="14"/>
    </font>
    <font>
      <name val="Microsoft JhengHei"/>
      <charset val="136"/>
      <family val="2"/>
      <b val="1"/>
      <sz val="10"/>
    </font>
    <font>
      <name val="Microsoft JhengHei"/>
      <charset val="136"/>
      <family val="2"/>
      <sz val="10"/>
    </font>
    <font>
      <name val="Microsoft JhengHei"/>
      <charset val="136"/>
      <family val="2"/>
      <b val="1"/>
      <color rgb="FFFFFFFF"/>
      <sz val="10"/>
    </font>
    <font>
      <name val="Microsoft JhengHei"/>
      <charset val="136"/>
      <family val="2"/>
      <color rgb="FF555555"/>
      <sz val="9"/>
    </font>
    <font>
      <name val="Microsoft JhengHei"/>
      <charset val="136"/>
      <family val="2"/>
      <b val="1"/>
      <color rgb="FF2E7D32"/>
      <sz val="10"/>
    </font>
    <font>
      <name val="新細明體"/>
      <charset val="136"/>
      <family val="3"/>
      <sz val="9"/>
      <scheme val="minor"/>
    </font>
    <font>
      <b val="1"/>
      <color rgb="FFFFFFFF"/>
      <sz val="14"/>
    </font>
    <font>
      <b val="1"/>
      <color rgb="FFFFFFFF"/>
      <sz val="10"/>
    </font>
    <font>
      <sz val="10"/>
    </font>
    <font>
      <b val="1"/>
    </font>
    <font>
      <i val="1"/>
      <sz val="9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8F5E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3" fillId="0" borderId="1" pivotButton="0" quotePrefix="0" xfId="0"/>
    <xf numFmtId="1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13" fillId="0" borderId="1" applyAlignment="1" pivotButton="0" quotePrefix="0" xfId="0">
      <alignment horizontal="left" wrapText="1"/>
    </xf>
    <xf numFmtId="0" fontId="10" fillId="0" borderId="1" applyAlignment="1" pivotButton="0" quotePrefix="0" xfId="0">
      <alignment horizontal="left" wrapText="1"/>
    </xf>
    <xf numFmtId="0" fontId="0" fillId="0" borderId="5" pivotButton="0" quotePrefix="0" xfId="0"/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wrapText="1"/>
    </xf>
    <xf numFmtId="0" fontId="9" fillId="3" borderId="0" applyAlignment="1" pivotButton="0" quotePrefix="0" xfId="0">
      <alignment horizontal="left" wrapText="1"/>
    </xf>
    <xf numFmtId="0" fontId="9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4" fontId="10" fillId="5" borderId="0" applyAlignment="1" pivotButton="0" quotePrefix="0" xfId="0">
      <alignment horizontal="center"/>
    </xf>
    <xf numFmtId="0" fontId="11" fillId="0" borderId="0" pivotButton="0" quotePrefix="0" xfId="0"/>
    <xf numFmtId="0" fontId="10" fillId="5" borderId="0" applyAlignment="1" pivotButton="0" quotePrefix="0" xfId="0">
      <alignment horizontal="center"/>
    </xf>
    <xf numFmtId="0" fontId="12" fillId="0" borderId="0" pivotButton="0" quotePrefix="0" xfId="0"/>
    <xf numFmtId="0" fontId="0" fillId="0" borderId="0" applyAlignment="1" pivotButton="0" quotePrefix="0" xfId="0">
      <alignment horizontal="left"/>
    </xf>
    <xf numFmtId="168" fontId="10" fillId="4" borderId="0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168" fontId="10" fillId="5" borderId="0" applyAlignment="1" pivotButton="0" quotePrefix="0" xfId="0">
      <alignment horizontal="center"/>
    </xf>
    <xf numFmtId="167" fontId="10" fillId="4" borderId="0" applyAlignment="1" pivotButton="0" quotePrefix="0" xfId="0">
      <alignment horizontal="center"/>
    </xf>
    <xf numFmtId="1" fontId="10" fillId="4" borderId="0" applyAlignment="1" pivotButton="0" quotePrefix="0" xfId="0">
      <alignment horizontal="center"/>
    </xf>
    <xf numFmtId="10" fontId="10" fillId="4" borderId="0" applyAlignment="1" pivotButton="0" quotePrefix="0" xfId="0">
      <alignment horizontal="center"/>
    </xf>
    <xf numFmtId="2" fontId="10" fillId="4" borderId="0" applyAlignment="1" pivotButton="0" quotePrefix="0" xfId="0">
      <alignment horizontal="center"/>
    </xf>
    <xf numFmtId="10" fontId="13" fillId="6" borderId="0" applyAlignment="1" pivotButton="0" quotePrefix="0" xfId="0">
      <alignment horizontal="center"/>
    </xf>
    <xf numFmtId="2" fontId="10" fillId="5" borderId="0" applyAlignment="1" pivotButton="0" quotePrefix="0" xfId="0">
      <alignment horizontal="center"/>
    </xf>
    <xf numFmtId="0" fontId="13" fillId="7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3"/>
  <sheetViews>
    <sheetView showGridLines="0" workbookViewId="0">
      <selection activeCell="A1" sqref="A1"/>
    </sheetView>
  </sheetViews>
  <sheetFormatPr baseColWidth="8" defaultRowHeight="15"/>
  <cols>
    <col width="3" customWidth="1" style="35" min="1" max="1"/>
    <col width="22" customWidth="1" style="35" min="2" max="2"/>
    <col width="95" customWidth="1" style="35" min="3" max="3"/>
  </cols>
  <sheetData>
    <row r="1" ht="28.05" customHeight="1" s="35">
      <c r="B1" s="34" t="inlineStr">
        <is>
          <t>Lucky Star Casino — RTP / 機率模型（活試算表 v2）</t>
        </is>
      </c>
      <c r="C1" s="43" t="n"/>
    </row>
    <row r="2" ht="18" customHeight="1" s="35">
      <c r="B2" s="40" t="n"/>
      <c r="C2" s="2" t="n"/>
    </row>
    <row r="3" ht="18" customHeight="1" s="35">
      <c r="B3" s="38" t="inlineStr">
        <is>
          <t>法則 / 名詞</t>
        </is>
      </c>
      <c r="C3" s="41" t="inlineStr">
        <is>
          <t>說明（對應程式碼）</t>
        </is>
      </c>
    </row>
    <row r="4" ht="30" customHeight="1" s="35">
      <c r="B4" s="40" t="inlineStr">
        <is>
          <t>① 加權機率</t>
        </is>
      </c>
      <c r="C4" s="2" t="inlineStr">
        <is>
          <t>pᵢ = 權重ᵢ / Σ權重。老虎機符號出現機率由 weight 決定（SlotSymbol.java）。權重是旋鈕，機率是歸一化結果。</t>
        </is>
      </c>
    </row>
    <row r="5" ht="18" customHeight="1" s="35">
      <c r="B5" s="40" t="inlineStr">
        <is>
          <t>② 獨立事件相乘</t>
        </is>
      </c>
      <c r="C5" s="2" t="inlineStr">
        <is>
          <t>三輪互相獨立 → 三連同符號 = pᵢ³；左二同(第三格不同) = pᵢ²(1−pᵢ)。</t>
        </is>
      </c>
    </row>
    <row r="6" ht="18" customHeight="1" s="35">
      <c r="B6" s="40" t="inlineStr">
        <is>
          <t>③ 期望值（EV）</t>
        </is>
      </c>
      <c r="C6" s="2" t="inlineStr">
        <is>
          <t>E[派彩] = Σ(結果機率 × 結果派彩)。期望值是『機率』與『錢』之間的橋。</t>
        </is>
      </c>
    </row>
    <row r="7" ht="18" customHeight="1" s="35">
      <c r="B7" s="40" t="inlineStr">
        <is>
          <t>④ RTP / 莊家優勢</t>
        </is>
      </c>
      <c r="C7" s="2" t="inlineStr">
        <is>
          <t>RTP = E[派彩]/下注。莊家優勢 = 1−RTP。倍率含本金 → 不賺不賠 = RTP 1.0（非 0）。</t>
        </is>
      </c>
    </row>
    <row r="8" ht="18" customHeight="1" s="35">
      <c r="B8" s="40" t="inlineStr">
        <is>
          <t>⑤ 變異 / 大數法則</t>
        </is>
      </c>
      <c r="C8" s="2" t="inlineStr">
        <is>
          <t>Var = E[X²]−E[X]²，SD=√Var。RTP 是長期收斂平均，非每局保證。變異越大收斂越慢。</t>
        </is>
      </c>
    </row>
    <row r="9" ht="30" customHeight="1" s="35">
      <c r="B9" s="40" t="inlineStr">
        <is>
          <t>⑥ 反解（捕魚機）</t>
        </is>
      </c>
      <c r="C9" s="2" t="inlineStr">
        <is>
          <t>先定 RTP 目標，回推自由參數：pCapture = TARGET_RTP × E[N] / multiplier（FishingCombat.java:190）。</t>
        </is>
      </c>
    </row>
    <row r="10" ht="30" customHeight="1" s="35">
      <c r="B10" s="40" t="inlineStr">
        <is>
          <t>⑦ 殘血回收（ADR-004）</t>
        </is>
      </c>
      <c r="C10" s="2" t="inlineStr">
        <is>
          <t>受傷未死的魚退還 RECOVERY_RATE(0.70) 子彈成本 → 體感 RTP 落在 [回收率, 設計RTP]=[0.70,0.96]。</t>
        </is>
      </c>
    </row>
    <row r="11" ht="18" customHeight="1" s="35">
      <c r="B11" s="44" t="inlineStr">
        <is>
          <t>⑧ 條件機率（百家樂）</t>
        </is>
      </c>
      <c r="C11" s="45" t="inlineStr">
        <is>
          <t>莊家補牌與否取決於閒家第三張（條件機率）。莊/閒/和機率無簡單閉式，須枚舉補牌規則求解。莊後手的資訊優勢＝『莊RTP&gt;閒RTP』的根源。</t>
        </is>
      </c>
    </row>
    <row r="12" ht="30" customHeight="1" s="35">
      <c r="B12" s="40" t="inlineStr">
        <is>
          <t>分頁導覽</t>
        </is>
      </c>
      <c r="C12" s="2" t="inlineStr">
        <is>
          <t>【老虎機】正向RTP。【百家樂】條件機率枚舉→莊/閒/和RTP。【捕魚機】反解pCapture+體感RTP區間。【_DP對照表】E[N]動態規劃。【驗證報告】三方交叉驗證與修復紀錄。</t>
        </is>
      </c>
    </row>
    <row r="13" ht="18" customHeight="1" s="35">
      <c r="B13" s="40" t="inlineStr">
        <is>
          <t>黃底=可改輸入</t>
        </is>
      </c>
      <c r="C13" s="2" t="inlineStr">
        <is>
          <t>綠底=公式推導　橘底=關鍵結果。改黃底格，其餘自動重算。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3" topLeftCell="A4" activePane="bottomLeft" state="frozen"/>
      <selection pane="bottomLeft" activeCell="C15" sqref="C15:F15"/>
    </sheetView>
  </sheetViews>
  <sheetFormatPr baseColWidth="8" defaultRowHeight="15"/>
  <cols>
    <col width="16.625" customWidth="1" style="35" min="1" max="1"/>
    <col width="9" customWidth="1" style="35" min="2" max="2"/>
    <col width="11" customWidth="1" style="35" min="3" max="5"/>
    <col width="13" customWidth="1" style="35" min="6" max="7"/>
    <col width="12" customWidth="1" style="35" min="8" max="10"/>
    <col width="14" customWidth="1" style="35" min="11" max="11"/>
  </cols>
  <sheetData>
    <row r="1" ht="25.95" customHeight="1" s="35">
      <c r="A1" s="34" t="inlineStr">
        <is>
          <t>老虎機 RTP 模型（單中線、兩階賠付）— 改 B/C/D 欄即自動重算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3" t="n"/>
    </row>
    <row r="3" ht="30" customHeight="1" s="35">
      <c r="A3" s="38" t="inlineStr">
        <is>
          <t>符號</t>
        </is>
      </c>
      <c r="B3" s="38" t="inlineStr">
        <is>
          <t>權重
weight</t>
        </is>
      </c>
      <c r="C3" s="38" t="inlineStr">
        <is>
          <t>小獎倍率
pair</t>
        </is>
      </c>
      <c r="D3" s="38" t="inlineStr">
        <is>
          <t>大獎倍率
triple</t>
        </is>
      </c>
      <c r="E3" s="38" t="inlineStr">
        <is>
          <t>機率 pᵢ</t>
        </is>
      </c>
      <c r="F3" s="38" t="inlineStr">
        <is>
          <t>三連
pᵢ³</t>
        </is>
      </c>
      <c r="G3" s="38" t="inlineStr">
        <is>
          <t>左二同
pᵢ²(1−pᵢ)</t>
        </is>
      </c>
      <c r="H3" s="38" t="inlineStr">
        <is>
          <t>EV三連</t>
        </is>
      </c>
      <c r="I3" s="38" t="inlineStr">
        <is>
          <t>EV左二</t>
        </is>
      </c>
      <c r="J3" s="38" t="inlineStr">
        <is>
          <t>EV合計</t>
        </is>
      </c>
      <c r="K3" s="38" t="inlineStr">
        <is>
          <t>E[X²]貢獻</t>
        </is>
      </c>
    </row>
    <row r="4">
      <c r="A4" s="5" t="inlineStr">
        <is>
          <t>🍒CHERRY</t>
        </is>
      </c>
      <c r="B4" s="6" t="n">
        <v>45</v>
      </c>
      <c r="C4" s="6" t="n">
        <v>1</v>
      </c>
      <c r="D4" s="6" t="n">
        <v>5</v>
      </c>
      <c r="E4" s="47">
        <f>B4/$B$9</f>
        <v/>
      </c>
      <c r="F4" s="48">
        <f>E4^3</f>
        <v/>
      </c>
      <c r="G4" s="48">
        <f>E4^2*(1-E4)</f>
        <v/>
      </c>
      <c r="H4" s="47">
        <f>F4*D4</f>
        <v/>
      </c>
      <c r="I4" s="47">
        <f>G4*C4</f>
        <v/>
      </c>
      <c r="J4" s="47">
        <f>H4+I4</f>
        <v/>
      </c>
      <c r="K4" s="47">
        <f>F4*D4^2+G4*C4^2</f>
        <v/>
      </c>
    </row>
    <row r="5">
      <c r="A5" s="5" t="inlineStr">
        <is>
          <t>🍋LEMON</t>
        </is>
      </c>
      <c r="B5" s="6" t="n">
        <v>30</v>
      </c>
      <c r="C5" s="6" t="n">
        <v>1</v>
      </c>
      <c r="D5" s="6" t="n">
        <v>8</v>
      </c>
      <c r="E5" s="47">
        <f>B5/$B$9</f>
        <v/>
      </c>
      <c r="F5" s="48">
        <f>E5^3</f>
        <v/>
      </c>
      <c r="G5" s="48">
        <f>E5^2*(1-E5)</f>
        <v/>
      </c>
      <c r="H5" s="47">
        <f>F5*D5</f>
        <v/>
      </c>
      <c r="I5" s="47">
        <f>G5*C5</f>
        <v/>
      </c>
      <c r="J5" s="47">
        <f>H5+I5</f>
        <v/>
      </c>
      <c r="K5" s="47">
        <f>F5*D5^2+G5*C5^2</f>
        <v/>
      </c>
    </row>
    <row r="6">
      <c r="A6" s="5" t="inlineStr">
        <is>
          <t>🔔BELL</t>
        </is>
      </c>
      <c r="B6" s="6" t="n">
        <v>16</v>
      </c>
      <c r="C6" s="6" t="n">
        <v>2</v>
      </c>
      <c r="D6" s="6" t="n">
        <v>18</v>
      </c>
      <c r="E6" s="47">
        <f>B6/$B$9</f>
        <v/>
      </c>
      <c r="F6" s="48">
        <f>E6^3</f>
        <v/>
      </c>
      <c r="G6" s="48">
        <f>E6^2*(1-E6)</f>
        <v/>
      </c>
      <c r="H6" s="47">
        <f>F6*D6</f>
        <v/>
      </c>
      <c r="I6" s="47">
        <f>G6*C6</f>
        <v/>
      </c>
      <c r="J6" s="47">
        <f>H6+I6</f>
        <v/>
      </c>
      <c r="K6" s="47">
        <f>F6*D6^2+G6*C6^2</f>
        <v/>
      </c>
    </row>
    <row r="7">
      <c r="A7" s="5" t="inlineStr">
        <is>
          <t>⭐STAR</t>
        </is>
      </c>
      <c r="B7" s="6" t="n">
        <v>7</v>
      </c>
      <c r="C7" s="6" t="n">
        <v>3</v>
      </c>
      <c r="D7" s="6" t="n">
        <v>50</v>
      </c>
      <c r="E7" s="47">
        <f>B7/$B$9</f>
        <v/>
      </c>
      <c r="F7" s="48">
        <f>E7^3</f>
        <v/>
      </c>
      <c r="G7" s="48">
        <f>E7^2*(1-E7)</f>
        <v/>
      </c>
      <c r="H7" s="47">
        <f>F7*D7</f>
        <v/>
      </c>
      <c r="I7" s="47">
        <f>G7*C7</f>
        <v/>
      </c>
      <c r="J7" s="47">
        <f>H7+I7</f>
        <v/>
      </c>
      <c r="K7" s="47">
        <f>F7*D7^2+G7*C7^2</f>
        <v/>
      </c>
    </row>
    <row r="8">
      <c r="A8" s="5" t="inlineStr">
        <is>
          <t>7️⃣SEVEN</t>
        </is>
      </c>
      <c r="B8" s="6" t="n">
        <v>5</v>
      </c>
      <c r="C8" s="6" t="n">
        <v>5</v>
      </c>
      <c r="D8" s="6" t="n">
        <v>70</v>
      </c>
      <c r="E8" s="47">
        <f>B8/$B$9</f>
        <v/>
      </c>
      <c r="F8" s="48">
        <f>E8^3</f>
        <v/>
      </c>
      <c r="G8" s="48">
        <f>E8^2*(1-E8)</f>
        <v/>
      </c>
      <c r="H8" s="47">
        <f>F8*D8</f>
        <v/>
      </c>
      <c r="I8" s="47">
        <f>G8*C8</f>
        <v/>
      </c>
      <c r="J8" s="47">
        <f>H8+I8</f>
        <v/>
      </c>
      <c r="K8" s="47">
        <f>F8*D8^2+G8*C8^2</f>
        <v/>
      </c>
    </row>
    <row r="9">
      <c r="A9" s="9" t="inlineStr">
        <is>
          <t>Σ權重→</t>
        </is>
      </c>
      <c r="B9" s="10">
        <f>SUM(B4:B8)</f>
        <v/>
      </c>
      <c r="F9" s="49">
        <f>SUM(F4:F8)</f>
        <v/>
      </c>
      <c r="G9" s="49">
        <f>SUM(G4:G8)</f>
        <v/>
      </c>
      <c r="H9" s="50">
        <f>SUM(H4:H8)</f>
        <v/>
      </c>
      <c r="I9" s="50">
        <f>SUM(I4:I8)</f>
        <v/>
      </c>
      <c r="J9" s="50">
        <f>SUM(J4:J8)</f>
        <v/>
      </c>
      <c r="K9" s="50">
        <f>SUM(K4:K8)</f>
        <v/>
      </c>
    </row>
    <row r="11">
      <c r="A11" s="38" t="inlineStr">
        <is>
          <t>關鍵指標</t>
        </is>
      </c>
      <c r="B11" s="43" t="n"/>
      <c r="C11" s="38" t="inlineStr">
        <is>
          <t>公式說明</t>
        </is>
      </c>
      <c r="D11" s="46" t="n"/>
      <c r="E11" s="46" t="n"/>
      <c r="F11" s="43" t="n"/>
    </row>
    <row r="12" ht="27.6" customHeight="1" s="35">
      <c r="A12" s="40" t="inlineStr">
        <is>
          <t>命中率（總）</t>
        </is>
      </c>
      <c r="B12" s="13">
        <f>F9+G9</f>
        <v/>
      </c>
      <c r="C12" s="36" t="inlineStr">
        <is>
          <t>三連+左二同=Σpᵢ²</t>
        </is>
      </c>
      <c r="D12" s="46" t="n"/>
      <c r="E12" s="46" t="n"/>
      <c r="F12" s="43" t="n"/>
    </row>
    <row r="13">
      <c r="A13" s="40" t="inlineStr">
        <is>
          <t>└ 三連命中率</t>
        </is>
      </c>
      <c r="B13" s="13">
        <f>F9</f>
        <v/>
      </c>
      <c r="C13" s="36" t="inlineStr">
        <is>
          <t>Σpᵢ³</t>
        </is>
      </c>
      <c r="D13" s="46" t="n"/>
      <c r="E13" s="46" t="n"/>
      <c r="F13" s="43" t="n"/>
    </row>
    <row r="14">
      <c r="A14" s="40" t="inlineStr">
        <is>
          <t>└ 左二同命中率</t>
        </is>
      </c>
      <c r="B14" s="13">
        <f>G9</f>
        <v/>
      </c>
      <c r="C14" s="36" t="inlineStr">
        <is>
          <t>Σpᵢ²(1−pᵢ)</t>
        </is>
      </c>
      <c r="D14" s="46" t="n"/>
      <c r="E14" s="46" t="n"/>
      <c r="F14" s="43" t="n"/>
    </row>
    <row r="15" ht="27.6" customHeight="1" s="35">
      <c r="A15" s="40" t="inlineStr">
        <is>
          <t>RTP（含本金）</t>
        </is>
      </c>
      <c r="B15" s="13">
        <f>J9</f>
        <v/>
      </c>
      <c r="C15" s="36" t="inlineStr">
        <is>
          <t>E[派彩]/下注；理論≈93.8%</t>
        </is>
      </c>
      <c r="D15" s="46" t="n"/>
      <c r="E15" s="46" t="n"/>
      <c r="F15" s="43" t="n"/>
    </row>
    <row r="16">
      <c r="A16" s="40" t="inlineStr">
        <is>
          <t>莊家優勢</t>
        </is>
      </c>
      <c r="B16" s="13">
        <f>1-J9</f>
        <v/>
      </c>
      <c r="C16" s="36" t="inlineStr">
        <is>
          <t>1−RTP</t>
        </is>
      </c>
      <c r="D16" s="46" t="n"/>
      <c r="E16" s="46" t="n"/>
      <c r="F16" s="43" t="n"/>
    </row>
    <row r="17" ht="27.6" customHeight="1" s="35">
      <c r="A17" s="40" t="inlineStr">
        <is>
          <t>E[X²]（二階矩）</t>
        </is>
      </c>
      <c r="B17" s="51">
        <f>K9</f>
        <v/>
      </c>
      <c r="C17" s="36" t="inlineStr">
        <is>
          <t>Σ機率×派彩²</t>
        </is>
      </c>
      <c r="D17" s="46" t="n"/>
      <c r="E17" s="46" t="n"/>
      <c r="F17" s="43" t="n"/>
    </row>
    <row r="18">
      <c r="A18" s="40" t="inlineStr">
        <is>
          <t>變異 Var</t>
        </is>
      </c>
      <c r="B18" s="51">
        <f>K9-J9^2</f>
        <v/>
      </c>
      <c r="C18" s="36" t="inlineStr">
        <is>
          <t>E[X²]−E[X]²</t>
        </is>
      </c>
      <c r="D18" s="46" t="n"/>
      <c r="E18" s="46" t="n"/>
      <c r="F18" s="43" t="n"/>
    </row>
    <row r="19">
      <c r="A19" s="40" t="inlineStr">
        <is>
          <t>標準差 SD</t>
        </is>
      </c>
      <c r="B19" s="51">
        <f>SQRT(K9-J9^2)</f>
        <v/>
      </c>
      <c r="C19" s="36" t="inlineStr">
        <is>
          <t>√Var：單局波動（bet倍數，受7️⃣尾部主導）</t>
        </is>
      </c>
      <c r="D19" s="46" t="n"/>
      <c r="E19" s="46" t="n"/>
      <c r="F19" s="43" t="n"/>
    </row>
    <row r="20" ht="27.6" customHeight="1" s="35">
      <c r="A20" s="40" t="inlineStr">
        <is>
          <t>變異係數 CV</t>
        </is>
      </c>
      <c r="B20" s="16">
        <f>SQRT(K9-J9^2)/J9</f>
        <v/>
      </c>
      <c r="C20" s="36" t="inlineStr">
        <is>
          <t>SD/RTP：相對波動</t>
        </is>
      </c>
      <c r="D20" s="46" t="n"/>
      <c r="E20" s="46" t="n"/>
      <c r="F20" s="43" t="n"/>
    </row>
  </sheetData>
  <mergeCells count="12">
    <mergeCell ref="C13:F13"/>
    <mergeCell ref="C18:F18"/>
    <mergeCell ref="C17:F17"/>
    <mergeCell ref="A11:B11"/>
    <mergeCell ref="C20:F20"/>
    <mergeCell ref="C12:F12"/>
    <mergeCell ref="C16:F16"/>
    <mergeCell ref="C15:F15"/>
    <mergeCell ref="C11:F11"/>
    <mergeCell ref="C19:F19"/>
    <mergeCell ref="A1:K1"/>
    <mergeCell ref="C14:F14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2"/>
  <sheetViews>
    <sheetView showGridLines="0" tabSelected="1" workbookViewId="0">
      <selection activeCell="A1" sqref="A1"/>
    </sheetView>
  </sheetViews>
  <sheetFormatPr baseColWidth="8" defaultRowHeight="15"/>
  <cols>
    <col width="21.375" customWidth="1" style="35" min="1" max="1"/>
    <col width="22" customWidth="1" style="35" min="2" max="2"/>
    <col width="78" customWidth="1" style="35" min="4" max="4"/>
  </cols>
  <sheetData>
    <row r="1" ht="41.4" customHeight="1" s="35">
      <c r="A1" s="38" t="inlineStr">
        <is>
          <t>r（剩餘單位）</t>
        </is>
      </c>
      <c r="B1" s="38" t="inlineStr">
        <is>
          <t>h[r]=E[擊殺發數]</t>
        </is>
      </c>
      <c r="D1" s="2" t="inlineStr">
        <is>
          <t>DP 遞推：h[r]=1+(1−crit)·h[r−1]+crit·h[r−2]，邊界 h[0]=0、h[1]=1。crit 取自『捕魚機』B5。【B1修復】範圍延長到 r=800（涵蓋砲台傷害低到~3 的龍王 HP2000），杜絕 INDEX 越界 #REF!。</t>
        </is>
      </c>
    </row>
    <row r="2">
      <c r="A2" s="5" t="n">
        <v>0</v>
      </c>
      <c r="B2" s="52" t="n">
        <v>0</v>
      </c>
    </row>
    <row r="3">
      <c r="A3" s="5" t="n">
        <v>1</v>
      </c>
      <c r="B3" s="52" t="n">
        <v>1</v>
      </c>
    </row>
    <row r="4">
      <c r="A4" s="5" t="n">
        <v>2</v>
      </c>
      <c r="B4" s="52">
        <f>1+(1-捕魚機!$B$5)*B3+捕魚機!$B$5*B2</f>
        <v/>
      </c>
    </row>
    <row r="5">
      <c r="A5" s="5" t="n">
        <v>3</v>
      </c>
      <c r="B5" s="52">
        <f>1+(1-捕魚機!$B$5)*B4+捕魚機!$B$5*B3</f>
        <v/>
      </c>
    </row>
    <row r="6">
      <c r="A6" s="5" t="n">
        <v>4</v>
      </c>
      <c r="B6" s="52">
        <f>1+(1-捕魚機!$B$5)*B5+捕魚機!$B$5*B4</f>
        <v/>
      </c>
    </row>
    <row r="7">
      <c r="A7" s="5" t="n">
        <v>5</v>
      </c>
      <c r="B7" s="52">
        <f>1+(1-捕魚機!$B$5)*B6+捕魚機!$B$5*B5</f>
        <v/>
      </c>
    </row>
    <row r="8">
      <c r="A8" s="5" t="n">
        <v>6</v>
      </c>
      <c r="B8" s="52">
        <f>1+(1-捕魚機!$B$5)*B7+捕魚機!$B$5*B6</f>
        <v/>
      </c>
    </row>
    <row r="9">
      <c r="A9" s="5" t="n">
        <v>7</v>
      </c>
      <c r="B9" s="52">
        <f>1+(1-捕魚機!$B$5)*B8+捕魚機!$B$5*B7</f>
        <v/>
      </c>
    </row>
    <row r="10">
      <c r="A10" s="5" t="n">
        <v>8</v>
      </c>
      <c r="B10" s="52">
        <f>1+(1-捕魚機!$B$5)*B9+捕魚機!$B$5*B8</f>
        <v/>
      </c>
    </row>
    <row r="11">
      <c r="A11" s="5" t="n">
        <v>9</v>
      </c>
      <c r="B11" s="52">
        <f>1+(1-捕魚機!$B$5)*B10+捕魚機!$B$5*B9</f>
        <v/>
      </c>
    </row>
    <row r="12">
      <c r="A12" s="5" t="n">
        <v>10</v>
      </c>
      <c r="B12" s="52">
        <f>1+(1-捕魚機!$B$5)*B11+捕魚機!$B$5*B10</f>
        <v/>
      </c>
    </row>
    <row r="13">
      <c r="A13" s="5" t="n">
        <v>11</v>
      </c>
      <c r="B13" s="52">
        <f>1+(1-捕魚機!$B$5)*B12+捕魚機!$B$5*B11</f>
        <v/>
      </c>
    </row>
    <row r="14">
      <c r="A14" s="5" t="n">
        <v>12</v>
      </c>
      <c r="B14" s="52">
        <f>1+(1-捕魚機!$B$5)*B13+捕魚機!$B$5*B12</f>
        <v/>
      </c>
    </row>
    <row r="15">
      <c r="A15" s="5" t="n">
        <v>13</v>
      </c>
      <c r="B15" s="52">
        <f>1+(1-捕魚機!$B$5)*B14+捕魚機!$B$5*B13</f>
        <v/>
      </c>
    </row>
    <row r="16">
      <c r="A16" s="5" t="n">
        <v>14</v>
      </c>
      <c r="B16" s="52">
        <f>1+(1-捕魚機!$B$5)*B15+捕魚機!$B$5*B14</f>
        <v/>
      </c>
    </row>
    <row r="17">
      <c r="A17" s="5" t="n">
        <v>15</v>
      </c>
      <c r="B17" s="52">
        <f>1+(1-捕魚機!$B$5)*B16+捕魚機!$B$5*B15</f>
        <v/>
      </c>
    </row>
    <row r="18">
      <c r="A18" s="5" t="n">
        <v>16</v>
      </c>
      <c r="B18" s="52">
        <f>1+(1-捕魚機!$B$5)*B17+捕魚機!$B$5*B16</f>
        <v/>
      </c>
    </row>
    <row r="19">
      <c r="A19" s="5" t="n">
        <v>17</v>
      </c>
      <c r="B19" s="52">
        <f>1+(1-捕魚機!$B$5)*B18+捕魚機!$B$5*B17</f>
        <v/>
      </c>
    </row>
    <row r="20">
      <c r="A20" s="5" t="n">
        <v>18</v>
      </c>
      <c r="B20" s="52">
        <f>1+(1-捕魚機!$B$5)*B19+捕魚機!$B$5*B18</f>
        <v/>
      </c>
    </row>
    <row r="21">
      <c r="A21" s="5" t="n">
        <v>19</v>
      </c>
      <c r="B21" s="52">
        <f>1+(1-捕魚機!$B$5)*B20+捕魚機!$B$5*B19</f>
        <v/>
      </c>
    </row>
    <row r="22">
      <c r="A22" s="5" t="n">
        <v>20</v>
      </c>
      <c r="B22" s="52">
        <f>1+(1-捕魚機!$B$5)*B21+捕魚機!$B$5*B20</f>
        <v/>
      </c>
    </row>
    <row r="23">
      <c r="A23" s="5" t="n">
        <v>21</v>
      </c>
      <c r="B23" s="52">
        <f>1+(1-捕魚機!$B$5)*B22+捕魚機!$B$5*B21</f>
        <v/>
      </c>
    </row>
    <row r="24">
      <c r="A24" s="5" t="n">
        <v>22</v>
      </c>
      <c r="B24" s="52">
        <f>1+(1-捕魚機!$B$5)*B23+捕魚機!$B$5*B22</f>
        <v/>
      </c>
    </row>
    <row r="25">
      <c r="A25" s="5" t="n">
        <v>23</v>
      </c>
      <c r="B25" s="52">
        <f>1+(1-捕魚機!$B$5)*B24+捕魚機!$B$5*B23</f>
        <v/>
      </c>
    </row>
    <row r="26">
      <c r="A26" s="5" t="n">
        <v>24</v>
      </c>
      <c r="B26" s="52">
        <f>1+(1-捕魚機!$B$5)*B25+捕魚機!$B$5*B24</f>
        <v/>
      </c>
    </row>
    <row r="27">
      <c r="A27" s="5" t="n">
        <v>25</v>
      </c>
      <c r="B27" s="52">
        <f>1+(1-捕魚機!$B$5)*B26+捕魚機!$B$5*B25</f>
        <v/>
      </c>
    </row>
    <row r="28">
      <c r="A28" s="5" t="n">
        <v>26</v>
      </c>
      <c r="B28" s="52">
        <f>1+(1-捕魚機!$B$5)*B27+捕魚機!$B$5*B26</f>
        <v/>
      </c>
    </row>
    <row r="29">
      <c r="A29" s="5" t="n">
        <v>27</v>
      </c>
      <c r="B29" s="52">
        <f>1+(1-捕魚機!$B$5)*B28+捕魚機!$B$5*B27</f>
        <v/>
      </c>
    </row>
    <row r="30">
      <c r="A30" s="5" t="n">
        <v>28</v>
      </c>
      <c r="B30" s="52">
        <f>1+(1-捕魚機!$B$5)*B29+捕魚機!$B$5*B28</f>
        <v/>
      </c>
    </row>
    <row r="31">
      <c r="A31" s="5" t="n">
        <v>29</v>
      </c>
      <c r="B31" s="52">
        <f>1+(1-捕魚機!$B$5)*B30+捕魚機!$B$5*B29</f>
        <v/>
      </c>
    </row>
    <row r="32">
      <c r="A32" s="5" t="n">
        <v>30</v>
      </c>
      <c r="B32" s="52">
        <f>1+(1-捕魚機!$B$5)*B31+捕魚機!$B$5*B30</f>
        <v/>
      </c>
    </row>
    <row r="33">
      <c r="A33" s="5" t="n">
        <v>31</v>
      </c>
      <c r="B33" s="52">
        <f>1+(1-捕魚機!$B$5)*B32+捕魚機!$B$5*B31</f>
        <v/>
      </c>
    </row>
    <row r="34">
      <c r="A34" s="5" t="n">
        <v>32</v>
      </c>
      <c r="B34" s="52">
        <f>1+(1-捕魚機!$B$5)*B33+捕魚機!$B$5*B32</f>
        <v/>
      </c>
    </row>
    <row r="35">
      <c r="A35" s="5" t="n">
        <v>33</v>
      </c>
      <c r="B35" s="52">
        <f>1+(1-捕魚機!$B$5)*B34+捕魚機!$B$5*B33</f>
        <v/>
      </c>
    </row>
    <row r="36">
      <c r="A36" s="5" t="n">
        <v>34</v>
      </c>
      <c r="B36" s="52">
        <f>1+(1-捕魚機!$B$5)*B35+捕魚機!$B$5*B34</f>
        <v/>
      </c>
    </row>
    <row r="37">
      <c r="A37" s="5" t="n">
        <v>35</v>
      </c>
      <c r="B37" s="52">
        <f>1+(1-捕魚機!$B$5)*B36+捕魚機!$B$5*B35</f>
        <v/>
      </c>
    </row>
    <row r="38">
      <c r="A38" s="5" t="n">
        <v>36</v>
      </c>
      <c r="B38" s="52">
        <f>1+(1-捕魚機!$B$5)*B37+捕魚機!$B$5*B36</f>
        <v/>
      </c>
    </row>
    <row r="39">
      <c r="A39" s="5" t="n">
        <v>37</v>
      </c>
      <c r="B39" s="52">
        <f>1+(1-捕魚機!$B$5)*B38+捕魚機!$B$5*B37</f>
        <v/>
      </c>
    </row>
    <row r="40">
      <c r="A40" s="5" t="n">
        <v>38</v>
      </c>
      <c r="B40" s="52">
        <f>1+(1-捕魚機!$B$5)*B39+捕魚機!$B$5*B38</f>
        <v/>
      </c>
    </row>
    <row r="41">
      <c r="A41" s="5" t="n">
        <v>39</v>
      </c>
      <c r="B41" s="52">
        <f>1+(1-捕魚機!$B$5)*B40+捕魚機!$B$5*B39</f>
        <v/>
      </c>
    </row>
    <row r="42">
      <c r="A42" s="5" t="n">
        <v>40</v>
      </c>
      <c r="B42" s="52">
        <f>1+(1-捕魚機!$B$5)*B41+捕魚機!$B$5*B40</f>
        <v/>
      </c>
    </row>
    <row r="43">
      <c r="A43" s="5" t="n">
        <v>41</v>
      </c>
      <c r="B43" s="52">
        <f>1+(1-捕魚機!$B$5)*B42+捕魚機!$B$5*B41</f>
        <v/>
      </c>
    </row>
    <row r="44">
      <c r="A44" s="5" t="n">
        <v>42</v>
      </c>
      <c r="B44" s="52">
        <f>1+(1-捕魚機!$B$5)*B43+捕魚機!$B$5*B42</f>
        <v/>
      </c>
    </row>
    <row r="45">
      <c r="A45" s="5" t="n">
        <v>43</v>
      </c>
      <c r="B45" s="52">
        <f>1+(1-捕魚機!$B$5)*B44+捕魚機!$B$5*B43</f>
        <v/>
      </c>
    </row>
    <row r="46">
      <c r="A46" s="5" t="n">
        <v>44</v>
      </c>
      <c r="B46" s="52">
        <f>1+(1-捕魚機!$B$5)*B45+捕魚機!$B$5*B44</f>
        <v/>
      </c>
    </row>
    <row r="47">
      <c r="A47" s="5" t="n">
        <v>45</v>
      </c>
      <c r="B47" s="52">
        <f>1+(1-捕魚機!$B$5)*B46+捕魚機!$B$5*B45</f>
        <v/>
      </c>
    </row>
    <row r="48">
      <c r="A48" s="5" t="n">
        <v>46</v>
      </c>
      <c r="B48" s="52">
        <f>1+(1-捕魚機!$B$5)*B47+捕魚機!$B$5*B46</f>
        <v/>
      </c>
    </row>
    <row r="49">
      <c r="A49" s="5" t="n">
        <v>47</v>
      </c>
      <c r="B49" s="52">
        <f>1+(1-捕魚機!$B$5)*B48+捕魚機!$B$5*B47</f>
        <v/>
      </c>
    </row>
    <row r="50">
      <c r="A50" s="5" t="n">
        <v>48</v>
      </c>
      <c r="B50" s="52">
        <f>1+(1-捕魚機!$B$5)*B49+捕魚機!$B$5*B48</f>
        <v/>
      </c>
    </row>
    <row r="51">
      <c r="A51" s="5" t="n">
        <v>49</v>
      </c>
      <c r="B51" s="52">
        <f>1+(1-捕魚機!$B$5)*B50+捕魚機!$B$5*B49</f>
        <v/>
      </c>
    </row>
    <row r="52">
      <c r="A52" s="5" t="n">
        <v>50</v>
      </c>
      <c r="B52" s="52">
        <f>1+(1-捕魚機!$B$5)*B51+捕魚機!$B$5*B50</f>
        <v/>
      </c>
    </row>
    <row r="53">
      <c r="A53" s="5" t="n">
        <v>51</v>
      </c>
      <c r="B53" s="52">
        <f>1+(1-捕魚機!$B$5)*B52+捕魚機!$B$5*B51</f>
        <v/>
      </c>
    </row>
    <row r="54">
      <c r="A54" s="5" t="n">
        <v>52</v>
      </c>
      <c r="B54" s="52">
        <f>1+(1-捕魚機!$B$5)*B53+捕魚機!$B$5*B52</f>
        <v/>
      </c>
    </row>
    <row r="55">
      <c r="A55" s="5" t="n">
        <v>53</v>
      </c>
      <c r="B55" s="52">
        <f>1+(1-捕魚機!$B$5)*B54+捕魚機!$B$5*B53</f>
        <v/>
      </c>
    </row>
    <row r="56">
      <c r="A56" s="5" t="n">
        <v>54</v>
      </c>
      <c r="B56" s="52">
        <f>1+(1-捕魚機!$B$5)*B55+捕魚機!$B$5*B54</f>
        <v/>
      </c>
    </row>
    <row r="57">
      <c r="A57" s="5" t="n">
        <v>55</v>
      </c>
      <c r="B57" s="52">
        <f>1+(1-捕魚機!$B$5)*B56+捕魚機!$B$5*B55</f>
        <v/>
      </c>
    </row>
    <row r="58">
      <c r="A58" s="5" t="n">
        <v>56</v>
      </c>
      <c r="B58" s="52">
        <f>1+(1-捕魚機!$B$5)*B57+捕魚機!$B$5*B56</f>
        <v/>
      </c>
    </row>
    <row r="59">
      <c r="A59" s="5" t="n">
        <v>57</v>
      </c>
      <c r="B59" s="52">
        <f>1+(1-捕魚機!$B$5)*B58+捕魚機!$B$5*B57</f>
        <v/>
      </c>
    </row>
    <row r="60">
      <c r="A60" s="5" t="n">
        <v>58</v>
      </c>
      <c r="B60" s="52">
        <f>1+(1-捕魚機!$B$5)*B59+捕魚機!$B$5*B58</f>
        <v/>
      </c>
    </row>
    <row r="61">
      <c r="A61" s="5" t="n">
        <v>59</v>
      </c>
      <c r="B61" s="52">
        <f>1+(1-捕魚機!$B$5)*B60+捕魚機!$B$5*B59</f>
        <v/>
      </c>
    </row>
    <row r="62">
      <c r="A62" s="5" t="n">
        <v>60</v>
      </c>
      <c r="B62" s="52">
        <f>1+(1-捕魚機!$B$5)*B61+捕魚機!$B$5*B60</f>
        <v/>
      </c>
    </row>
    <row r="63">
      <c r="A63" s="5" t="n">
        <v>61</v>
      </c>
      <c r="B63" s="52">
        <f>1+(1-捕魚機!$B$5)*B62+捕魚機!$B$5*B61</f>
        <v/>
      </c>
    </row>
    <row r="64">
      <c r="A64" s="5" t="n">
        <v>62</v>
      </c>
      <c r="B64" s="52">
        <f>1+(1-捕魚機!$B$5)*B63+捕魚機!$B$5*B62</f>
        <v/>
      </c>
    </row>
    <row r="65">
      <c r="A65" s="5" t="n">
        <v>63</v>
      </c>
      <c r="B65" s="52">
        <f>1+(1-捕魚機!$B$5)*B64+捕魚機!$B$5*B63</f>
        <v/>
      </c>
    </row>
    <row r="66">
      <c r="A66" s="5" t="n">
        <v>64</v>
      </c>
      <c r="B66" s="52">
        <f>1+(1-捕魚機!$B$5)*B65+捕魚機!$B$5*B64</f>
        <v/>
      </c>
    </row>
    <row r="67">
      <c r="A67" s="5" t="n">
        <v>65</v>
      </c>
      <c r="B67" s="52">
        <f>1+(1-捕魚機!$B$5)*B66+捕魚機!$B$5*B65</f>
        <v/>
      </c>
    </row>
    <row r="68">
      <c r="A68" s="5" t="n">
        <v>66</v>
      </c>
      <c r="B68" s="52">
        <f>1+(1-捕魚機!$B$5)*B67+捕魚機!$B$5*B66</f>
        <v/>
      </c>
    </row>
    <row r="69">
      <c r="A69" s="5" t="n">
        <v>67</v>
      </c>
      <c r="B69" s="52">
        <f>1+(1-捕魚機!$B$5)*B68+捕魚機!$B$5*B67</f>
        <v/>
      </c>
    </row>
    <row r="70">
      <c r="A70" s="5" t="n">
        <v>68</v>
      </c>
      <c r="B70" s="52">
        <f>1+(1-捕魚機!$B$5)*B69+捕魚機!$B$5*B68</f>
        <v/>
      </c>
    </row>
    <row r="71">
      <c r="A71" s="5" t="n">
        <v>69</v>
      </c>
      <c r="B71" s="52">
        <f>1+(1-捕魚機!$B$5)*B70+捕魚機!$B$5*B69</f>
        <v/>
      </c>
    </row>
    <row r="72">
      <c r="A72" s="5" t="n">
        <v>70</v>
      </c>
      <c r="B72" s="52">
        <f>1+(1-捕魚機!$B$5)*B71+捕魚機!$B$5*B70</f>
        <v/>
      </c>
    </row>
    <row r="73">
      <c r="A73" s="5" t="n">
        <v>71</v>
      </c>
      <c r="B73" s="52">
        <f>1+(1-捕魚機!$B$5)*B72+捕魚機!$B$5*B71</f>
        <v/>
      </c>
    </row>
    <row r="74">
      <c r="A74" s="5" t="n">
        <v>72</v>
      </c>
      <c r="B74" s="52">
        <f>1+(1-捕魚機!$B$5)*B73+捕魚機!$B$5*B72</f>
        <v/>
      </c>
    </row>
    <row r="75">
      <c r="A75" s="5" t="n">
        <v>73</v>
      </c>
      <c r="B75" s="52">
        <f>1+(1-捕魚機!$B$5)*B74+捕魚機!$B$5*B73</f>
        <v/>
      </c>
    </row>
    <row r="76">
      <c r="A76" s="5" t="n">
        <v>74</v>
      </c>
      <c r="B76" s="52">
        <f>1+(1-捕魚機!$B$5)*B75+捕魚機!$B$5*B74</f>
        <v/>
      </c>
    </row>
    <row r="77">
      <c r="A77" s="5" t="n">
        <v>75</v>
      </c>
      <c r="B77" s="52">
        <f>1+(1-捕魚機!$B$5)*B76+捕魚機!$B$5*B75</f>
        <v/>
      </c>
    </row>
    <row r="78">
      <c r="A78" s="5" t="n">
        <v>76</v>
      </c>
      <c r="B78" s="52">
        <f>1+(1-捕魚機!$B$5)*B77+捕魚機!$B$5*B76</f>
        <v/>
      </c>
    </row>
    <row r="79">
      <c r="A79" s="5" t="n">
        <v>77</v>
      </c>
      <c r="B79" s="52">
        <f>1+(1-捕魚機!$B$5)*B78+捕魚機!$B$5*B77</f>
        <v/>
      </c>
    </row>
    <row r="80">
      <c r="A80" s="5" t="n">
        <v>78</v>
      </c>
      <c r="B80" s="52">
        <f>1+(1-捕魚機!$B$5)*B79+捕魚機!$B$5*B78</f>
        <v/>
      </c>
    </row>
    <row r="81">
      <c r="A81" s="5" t="n">
        <v>79</v>
      </c>
      <c r="B81" s="52">
        <f>1+(1-捕魚機!$B$5)*B80+捕魚機!$B$5*B79</f>
        <v/>
      </c>
    </row>
    <row r="82">
      <c r="A82" s="5" t="n">
        <v>80</v>
      </c>
      <c r="B82" s="52">
        <f>1+(1-捕魚機!$B$5)*B81+捕魚機!$B$5*B80</f>
        <v/>
      </c>
    </row>
    <row r="83">
      <c r="A83" s="5" t="n">
        <v>81</v>
      </c>
      <c r="B83" s="52">
        <f>1+(1-捕魚機!$B$5)*B82+捕魚機!$B$5*B81</f>
        <v/>
      </c>
    </row>
    <row r="84">
      <c r="A84" s="5" t="n">
        <v>82</v>
      </c>
      <c r="B84" s="52">
        <f>1+(1-捕魚機!$B$5)*B83+捕魚機!$B$5*B82</f>
        <v/>
      </c>
    </row>
    <row r="85">
      <c r="A85" s="5" t="n">
        <v>83</v>
      </c>
      <c r="B85" s="52">
        <f>1+(1-捕魚機!$B$5)*B84+捕魚機!$B$5*B83</f>
        <v/>
      </c>
    </row>
    <row r="86">
      <c r="A86" s="5" t="n">
        <v>84</v>
      </c>
      <c r="B86" s="52">
        <f>1+(1-捕魚機!$B$5)*B85+捕魚機!$B$5*B84</f>
        <v/>
      </c>
    </row>
    <row r="87">
      <c r="A87" s="5" t="n">
        <v>85</v>
      </c>
      <c r="B87" s="52">
        <f>1+(1-捕魚機!$B$5)*B86+捕魚機!$B$5*B85</f>
        <v/>
      </c>
    </row>
    <row r="88">
      <c r="A88" s="5" t="n">
        <v>86</v>
      </c>
      <c r="B88" s="52">
        <f>1+(1-捕魚機!$B$5)*B87+捕魚機!$B$5*B86</f>
        <v/>
      </c>
    </row>
    <row r="89">
      <c r="A89" s="5" t="n">
        <v>87</v>
      </c>
      <c r="B89" s="52">
        <f>1+(1-捕魚機!$B$5)*B88+捕魚機!$B$5*B87</f>
        <v/>
      </c>
    </row>
    <row r="90">
      <c r="A90" s="5" t="n">
        <v>88</v>
      </c>
      <c r="B90" s="52">
        <f>1+(1-捕魚機!$B$5)*B89+捕魚機!$B$5*B88</f>
        <v/>
      </c>
    </row>
    <row r="91">
      <c r="A91" s="5" t="n">
        <v>89</v>
      </c>
      <c r="B91" s="52">
        <f>1+(1-捕魚機!$B$5)*B90+捕魚機!$B$5*B89</f>
        <v/>
      </c>
    </row>
    <row r="92">
      <c r="A92" s="5" t="n">
        <v>90</v>
      </c>
      <c r="B92" s="52">
        <f>1+(1-捕魚機!$B$5)*B91+捕魚機!$B$5*B90</f>
        <v/>
      </c>
    </row>
    <row r="93">
      <c r="A93" s="5" t="n">
        <v>91</v>
      </c>
      <c r="B93" s="52">
        <f>1+(1-捕魚機!$B$5)*B92+捕魚機!$B$5*B91</f>
        <v/>
      </c>
    </row>
    <row r="94">
      <c r="A94" s="5" t="n">
        <v>92</v>
      </c>
      <c r="B94" s="52">
        <f>1+(1-捕魚機!$B$5)*B93+捕魚機!$B$5*B92</f>
        <v/>
      </c>
    </row>
    <row r="95">
      <c r="A95" s="5" t="n">
        <v>93</v>
      </c>
      <c r="B95" s="52">
        <f>1+(1-捕魚機!$B$5)*B94+捕魚機!$B$5*B93</f>
        <v/>
      </c>
    </row>
    <row r="96">
      <c r="A96" s="5" t="n">
        <v>94</v>
      </c>
      <c r="B96" s="52">
        <f>1+(1-捕魚機!$B$5)*B95+捕魚機!$B$5*B94</f>
        <v/>
      </c>
    </row>
    <row r="97">
      <c r="A97" s="5" t="n">
        <v>95</v>
      </c>
      <c r="B97" s="52">
        <f>1+(1-捕魚機!$B$5)*B96+捕魚機!$B$5*B95</f>
        <v/>
      </c>
    </row>
    <row r="98">
      <c r="A98" s="5" t="n">
        <v>96</v>
      </c>
      <c r="B98" s="52">
        <f>1+(1-捕魚機!$B$5)*B97+捕魚機!$B$5*B96</f>
        <v/>
      </c>
    </row>
    <row r="99">
      <c r="A99" s="5" t="n">
        <v>97</v>
      </c>
      <c r="B99" s="52">
        <f>1+(1-捕魚機!$B$5)*B98+捕魚機!$B$5*B97</f>
        <v/>
      </c>
    </row>
    <row r="100">
      <c r="A100" s="5" t="n">
        <v>98</v>
      </c>
      <c r="B100" s="52">
        <f>1+(1-捕魚機!$B$5)*B99+捕魚機!$B$5*B98</f>
        <v/>
      </c>
    </row>
    <row r="101">
      <c r="A101" s="5" t="n">
        <v>99</v>
      </c>
      <c r="B101" s="52">
        <f>1+(1-捕魚機!$B$5)*B100+捕魚機!$B$5*B99</f>
        <v/>
      </c>
    </row>
    <row r="102">
      <c r="A102" s="5" t="n">
        <v>100</v>
      </c>
      <c r="B102" s="52">
        <f>1+(1-捕魚機!$B$5)*B101+捕魚機!$B$5*B100</f>
        <v/>
      </c>
    </row>
    <row r="103">
      <c r="A103" s="5" t="n">
        <v>101</v>
      </c>
      <c r="B103" s="52">
        <f>1+(1-捕魚機!$B$5)*B102+捕魚機!$B$5*B101</f>
        <v/>
      </c>
    </row>
    <row r="104">
      <c r="A104" s="5" t="n">
        <v>102</v>
      </c>
      <c r="B104" s="52">
        <f>1+(1-捕魚機!$B$5)*B103+捕魚機!$B$5*B102</f>
        <v/>
      </c>
    </row>
    <row r="105">
      <c r="A105" s="5" t="n">
        <v>103</v>
      </c>
      <c r="B105" s="52">
        <f>1+(1-捕魚機!$B$5)*B104+捕魚機!$B$5*B103</f>
        <v/>
      </c>
    </row>
    <row r="106">
      <c r="A106" s="5" t="n">
        <v>104</v>
      </c>
      <c r="B106" s="52">
        <f>1+(1-捕魚機!$B$5)*B105+捕魚機!$B$5*B104</f>
        <v/>
      </c>
    </row>
    <row r="107">
      <c r="A107" s="5" t="n">
        <v>105</v>
      </c>
      <c r="B107" s="52">
        <f>1+(1-捕魚機!$B$5)*B106+捕魚機!$B$5*B105</f>
        <v/>
      </c>
    </row>
    <row r="108">
      <c r="A108" s="5" t="n">
        <v>106</v>
      </c>
      <c r="B108" s="52">
        <f>1+(1-捕魚機!$B$5)*B107+捕魚機!$B$5*B106</f>
        <v/>
      </c>
    </row>
    <row r="109">
      <c r="A109" s="5" t="n">
        <v>107</v>
      </c>
      <c r="B109" s="52">
        <f>1+(1-捕魚機!$B$5)*B108+捕魚機!$B$5*B107</f>
        <v/>
      </c>
    </row>
    <row r="110">
      <c r="A110" s="5" t="n">
        <v>108</v>
      </c>
      <c r="B110" s="52">
        <f>1+(1-捕魚機!$B$5)*B109+捕魚機!$B$5*B108</f>
        <v/>
      </c>
    </row>
    <row r="111">
      <c r="A111" s="5" t="n">
        <v>109</v>
      </c>
      <c r="B111" s="52">
        <f>1+(1-捕魚機!$B$5)*B110+捕魚機!$B$5*B109</f>
        <v/>
      </c>
    </row>
    <row r="112">
      <c r="A112" s="5" t="n">
        <v>110</v>
      </c>
      <c r="B112" s="52">
        <f>1+(1-捕魚機!$B$5)*B111+捕魚機!$B$5*B110</f>
        <v/>
      </c>
    </row>
    <row r="113">
      <c r="A113" s="5" t="n">
        <v>111</v>
      </c>
      <c r="B113" s="52">
        <f>1+(1-捕魚機!$B$5)*B112+捕魚機!$B$5*B111</f>
        <v/>
      </c>
    </row>
    <row r="114">
      <c r="A114" s="5" t="n">
        <v>112</v>
      </c>
      <c r="B114" s="52">
        <f>1+(1-捕魚機!$B$5)*B113+捕魚機!$B$5*B112</f>
        <v/>
      </c>
    </row>
    <row r="115">
      <c r="A115" s="5" t="n">
        <v>113</v>
      </c>
      <c r="B115" s="52">
        <f>1+(1-捕魚機!$B$5)*B114+捕魚機!$B$5*B113</f>
        <v/>
      </c>
    </row>
    <row r="116">
      <c r="A116" s="5" t="n">
        <v>114</v>
      </c>
      <c r="B116" s="52">
        <f>1+(1-捕魚機!$B$5)*B115+捕魚機!$B$5*B114</f>
        <v/>
      </c>
    </row>
    <row r="117">
      <c r="A117" s="5" t="n">
        <v>115</v>
      </c>
      <c r="B117" s="52">
        <f>1+(1-捕魚機!$B$5)*B116+捕魚機!$B$5*B115</f>
        <v/>
      </c>
    </row>
    <row r="118">
      <c r="A118" s="5" t="n">
        <v>116</v>
      </c>
      <c r="B118" s="52">
        <f>1+(1-捕魚機!$B$5)*B117+捕魚機!$B$5*B116</f>
        <v/>
      </c>
    </row>
    <row r="119">
      <c r="A119" s="5" t="n">
        <v>117</v>
      </c>
      <c r="B119" s="52">
        <f>1+(1-捕魚機!$B$5)*B118+捕魚機!$B$5*B117</f>
        <v/>
      </c>
    </row>
    <row r="120">
      <c r="A120" s="5" t="n">
        <v>118</v>
      </c>
      <c r="B120" s="52">
        <f>1+(1-捕魚機!$B$5)*B119+捕魚機!$B$5*B118</f>
        <v/>
      </c>
    </row>
    <row r="121">
      <c r="A121" s="5" t="n">
        <v>119</v>
      </c>
      <c r="B121" s="52">
        <f>1+(1-捕魚機!$B$5)*B120+捕魚機!$B$5*B119</f>
        <v/>
      </c>
    </row>
    <row r="122">
      <c r="A122" s="5" t="n">
        <v>120</v>
      </c>
      <c r="B122" s="52">
        <f>1+(1-捕魚機!$B$5)*B121+捕魚機!$B$5*B120</f>
        <v/>
      </c>
    </row>
    <row r="123">
      <c r="A123" s="5" t="n">
        <v>121</v>
      </c>
      <c r="B123" s="52">
        <f>1+(1-捕魚機!$B$5)*B122+捕魚機!$B$5*B121</f>
        <v/>
      </c>
    </row>
    <row r="124">
      <c r="A124" s="5" t="n">
        <v>122</v>
      </c>
      <c r="B124" s="52">
        <f>1+(1-捕魚機!$B$5)*B123+捕魚機!$B$5*B122</f>
        <v/>
      </c>
    </row>
    <row r="125">
      <c r="A125" s="5" t="n">
        <v>123</v>
      </c>
      <c r="B125" s="52">
        <f>1+(1-捕魚機!$B$5)*B124+捕魚機!$B$5*B123</f>
        <v/>
      </c>
    </row>
    <row r="126">
      <c r="A126" s="5" t="n">
        <v>124</v>
      </c>
      <c r="B126" s="52">
        <f>1+(1-捕魚機!$B$5)*B125+捕魚機!$B$5*B124</f>
        <v/>
      </c>
    </row>
    <row r="127">
      <c r="A127" s="5" t="n">
        <v>125</v>
      </c>
      <c r="B127" s="52">
        <f>1+(1-捕魚機!$B$5)*B126+捕魚機!$B$5*B125</f>
        <v/>
      </c>
    </row>
    <row r="128">
      <c r="A128" s="5" t="n">
        <v>126</v>
      </c>
      <c r="B128" s="52">
        <f>1+(1-捕魚機!$B$5)*B127+捕魚機!$B$5*B126</f>
        <v/>
      </c>
    </row>
    <row r="129">
      <c r="A129" s="5" t="n">
        <v>127</v>
      </c>
      <c r="B129" s="52">
        <f>1+(1-捕魚機!$B$5)*B128+捕魚機!$B$5*B127</f>
        <v/>
      </c>
    </row>
    <row r="130">
      <c r="A130" s="5" t="n">
        <v>128</v>
      </c>
      <c r="B130" s="52">
        <f>1+(1-捕魚機!$B$5)*B129+捕魚機!$B$5*B128</f>
        <v/>
      </c>
    </row>
    <row r="131">
      <c r="A131" s="5" t="n">
        <v>129</v>
      </c>
      <c r="B131" s="52">
        <f>1+(1-捕魚機!$B$5)*B130+捕魚機!$B$5*B129</f>
        <v/>
      </c>
    </row>
    <row r="132">
      <c r="A132" s="5" t="n">
        <v>130</v>
      </c>
      <c r="B132" s="52">
        <f>1+(1-捕魚機!$B$5)*B131+捕魚機!$B$5*B130</f>
        <v/>
      </c>
    </row>
    <row r="133">
      <c r="A133" s="5" t="n">
        <v>131</v>
      </c>
      <c r="B133" s="52">
        <f>1+(1-捕魚機!$B$5)*B132+捕魚機!$B$5*B131</f>
        <v/>
      </c>
    </row>
    <row r="134">
      <c r="A134" s="5" t="n">
        <v>132</v>
      </c>
      <c r="B134" s="52">
        <f>1+(1-捕魚機!$B$5)*B133+捕魚機!$B$5*B132</f>
        <v/>
      </c>
    </row>
    <row r="135">
      <c r="A135" s="5" t="n">
        <v>133</v>
      </c>
      <c r="B135" s="52">
        <f>1+(1-捕魚機!$B$5)*B134+捕魚機!$B$5*B133</f>
        <v/>
      </c>
    </row>
    <row r="136">
      <c r="A136" s="5" t="n">
        <v>134</v>
      </c>
      <c r="B136" s="52">
        <f>1+(1-捕魚機!$B$5)*B135+捕魚機!$B$5*B134</f>
        <v/>
      </c>
    </row>
    <row r="137">
      <c r="A137" s="5" t="n">
        <v>135</v>
      </c>
      <c r="B137" s="52">
        <f>1+(1-捕魚機!$B$5)*B136+捕魚機!$B$5*B135</f>
        <v/>
      </c>
    </row>
    <row r="138">
      <c r="A138" s="5" t="n">
        <v>136</v>
      </c>
      <c r="B138" s="52">
        <f>1+(1-捕魚機!$B$5)*B137+捕魚機!$B$5*B136</f>
        <v/>
      </c>
    </row>
    <row r="139">
      <c r="A139" s="5" t="n">
        <v>137</v>
      </c>
      <c r="B139" s="52">
        <f>1+(1-捕魚機!$B$5)*B138+捕魚機!$B$5*B137</f>
        <v/>
      </c>
    </row>
    <row r="140">
      <c r="A140" s="5" t="n">
        <v>138</v>
      </c>
      <c r="B140" s="52">
        <f>1+(1-捕魚機!$B$5)*B139+捕魚機!$B$5*B138</f>
        <v/>
      </c>
    </row>
    <row r="141">
      <c r="A141" s="5" t="n">
        <v>139</v>
      </c>
      <c r="B141" s="52">
        <f>1+(1-捕魚機!$B$5)*B140+捕魚機!$B$5*B139</f>
        <v/>
      </c>
    </row>
    <row r="142">
      <c r="A142" s="5" t="n">
        <v>140</v>
      </c>
      <c r="B142" s="52">
        <f>1+(1-捕魚機!$B$5)*B141+捕魚機!$B$5*B140</f>
        <v/>
      </c>
    </row>
    <row r="143">
      <c r="A143" s="5" t="n">
        <v>141</v>
      </c>
      <c r="B143" s="52">
        <f>1+(1-捕魚機!$B$5)*B142+捕魚機!$B$5*B141</f>
        <v/>
      </c>
    </row>
    <row r="144">
      <c r="A144" s="5" t="n">
        <v>142</v>
      </c>
      <c r="B144" s="52">
        <f>1+(1-捕魚機!$B$5)*B143+捕魚機!$B$5*B142</f>
        <v/>
      </c>
    </row>
    <row r="145">
      <c r="A145" s="5" t="n">
        <v>143</v>
      </c>
      <c r="B145" s="52">
        <f>1+(1-捕魚機!$B$5)*B144+捕魚機!$B$5*B143</f>
        <v/>
      </c>
    </row>
    <row r="146">
      <c r="A146" s="5" t="n">
        <v>144</v>
      </c>
      <c r="B146" s="52">
        <f>1+(1-捕魚機!$B$5)*B145+捕魚機!$B$5*B144</f>
        <v/>
      </c>
    </row>
    <row r="147">
      <c r="A147" s="5" t="n">
        <v>145</v>
      </c>
      <c r="B147" s="52">
        <f>1+(1-捕魚機!$B$5)*B146+捕魚機!$B$5*B145</f>
        <v/>
      </c>
    </row>
    <row r="148">
      <c r="A148" s="5" t="n">
        <v>146</v>
      </c>
      <c r="B148" s="52">
        <f>1+(1-捕魚機!$B$5)*B147+捕魚機!$B$5*B146</f>
        <v/>
      </c>
    </row>
    <row r="149">
      <c r="A149" s="5" t="n">
        <v>147</v>
      </c>
      <c r="B149" s="52">
        <f>1+(1-捕魚機!$B$5)*B148+捕魚機!$B$5*B147</f>
        <v/>
      </c>
    </row>
    <row r="150">
      <c r="A150" s="5" t="n">
        <v>148</v>
      </c>
      <c r="B150" s="52">
        <f>1+(1-捕魚機!$B$5)*B149+捕魚機!$B$5*B148</f>
        <v/>
      </c>
    </row>
    <row r="151">
      <c r="A151" s="5" t="n">
        <v>149</v>
      </c>
      <c r="B151" s="52">
        <f>1+(1-捕魚機!$B$5)*B150+捕魚機!$B$5*B149</f>
        <v/>
      </c>
    </row>
    <row r="152">
      <c r="A152" s="5" t="n">
        <v>150</v>
      </c>
      <c r="B152" s="52">
        <f>1+(1-捕魚機!$B$5)*B151+捕魚機!$B$5*B150</f>
        <v/>
      </c>
    </row>
    <row r="153">
      <c r="A153" s="5" t="n">
        <v>151</v>
      </c>
      <c r="B153" s="52">
        <f>1+(1-捕魚機!$B$5)*B152+捕魚機!$B$5*B151</f>
        <v/>
      </c>
    </row>
    <row r="154">
      <c r="A154" s="5" t="n">
        <v>152</v>
      </c>
      <c r="B154" s="52">
        <f>1+(1-捕魚機!$B$5)*B153+捕魚機!$B$5*B152</f>
        <v/>
      </c>
    </row>
    <row r="155">
      <c r="A155" s="5" t="n">
        <v>153</v>
      </c>
      <c r="B155" s="52">
        <f>1+(1-捕魚機!$B$5)*B154+捕魚機!$B$5*B153</f>
        <v/>
      </c>
    </row>
    <row r="156">
      <c r="A156" s="5" t="n">
        <v>154</v>
      </c>
      <c r="B156" s="52">
        <f>1+(1-捕魚機!$B$5)*B155+捕魚機!$B$5*B154</f>
        <v/>
      </c>
    </row>
    <row r="157">
      <c r="A157" s="5" t="n">
        <v>155</v>
      </c>
      <c r="B157" s="52">
        <f>1+(1-捕魚機!$B$5)*B156+捕魚機!$B$5*B155</f>
        <v/>
      </c>
    </row>
    <row r="158">
      <c r="A158" s="5" t="n">
        <v>156</v>
      </c>
      <c r="B158" s="52">
        <f>1+(1-捕魚機!$B$5)*B157+捕魚機!$B$5*B156</f>
        <v/>
      </c>
    </row>
    <row r="159">
      <c r="A159" s="5" t="n">
        <v>157</v>
      </c>
      <c r="B159" s="52">
        <f>1+(1-捕魚機!$B$5)*B158+捕魚機!$B$5*B157</f>
        <v/>
      </c>
    </row>
    <row r="160">
      <c r="A160" s="5" t="n">
        <v>158</v>
      </c>
      <c r="B160" s="52">
        <f>1+(1-捕魚機!$B$5)*B159+捕魚機!$B$5*B158</f>
        <v/>
      </c>
    </row>
    <row r="161">
      <c r="A161" s="5" t="n">
        <v>159</v>
      </c>
      <c r="B161" s="52">
        <f>1+(1-捕魚機!$B$5)*B160+捕魚機!$B$5*B159</f>
        <v/>
      </c>
    </row>
    <row r="162">
      <c r="A162" s="5" t="n">
        <v>160</v>
      </c>
      <c r="B162" s="52">
        <f>1+(1-捕魚機!$B$5)*B161+捕魚機!$B$5*B160</f>
        <v/>
      </c>
    </row>
    <row r="163">
      <c r="A163" s="5" t="n">
        <v>161</v>
      </c>
      <c r="B163" s="52">
        <f>1+(1-捕魚機!$B$5)*B162+捕魚機!$B$5*B161</f>
        <v/>
      </c>
    </row>
    <row r="164">
      <c r="A164" s="5" t="n">
        <v>162</v>
      </c>
      <c r="B164" s="52">
        <f>1+(1-捕魚機!$B$5)*B163+捕魚機!$B$5*B162</f>
        <v/>
      </c>
    </row>
    <row r="165">
      <c r="A165" s="5" t="n">
        <v>163</v>
      </c>
      <c r="B165" s="52">
        <f>1+(1-捕魚機!$B$5)*B164+捕魚機!$B$5*B163</f>
        <v/>
      </c>
    </row>
    <row r="166">
      <c r="A166" s="5" t="n">
        <v>164</v>
      </c>
      <c r="B166" s="52">
        <f>1+(1-捕魚機!$B$5)*B165+捕魚機!$B$5*B164</f>
        <v/>
      </c>
    </row>
    <row r="167">
      <c r="A167" s="5" t="n">
        <v>165</v>
      </c>
      <c r="B167" s="52">
        <f>1+(1-捕魚機!$B$5)*B166+捕魚機!$B$5*B165</f>
        <v/>
      </c>
    </row>
    <row r="168">
      <c r="A168" s="5" t="n">
        <v>166</v>
      </c>
      <c r="B168" s="52">
        <f>1+(1-捕魚機!$B$5)*B167+捕魚機!$B$5*B166</f>
        <v/>
      </c>
    </row>
    <row r="169">
      <c r="A169" s="5" t="n">
        <v>167</v>
      </c>
      <c r="B169" s="52">
        <f>1+(1-捕魚機!$B$5)*B168+捕魚機!$B$5*B167</f>
        <v/>
      </c>
    </row>
    <row r="170">
      <c r="A170" s="5" t="n">
        <v>168</v>
      </c>
      <c r="B170" s="52">
        <f>1+(1-捕魚機!$B$5)*B169+捕魚機!$B$5*B168</f>
        <v/>
      </c>
    </row>
    <row r="171">
      <c r="A171" s="5" t="n">
        <v>169</v>
      </c>
      <c r="B171" s="52">
        <f>1+(1-捕魚機!$B$5)*B170+捕魚機!$B$5*B169</f>
        <v/>
      </c>
    </row>
    <row r="172">
      <c r="A172" s="5" t="n">
        <v>170</v>
      </c>
      <c r="B172" s="52">
        <f>1+(1-捕魚機!$B$5)*B171+捕魚機!$B$5*B170</f>
        <v/>
      </c>
    </row>
    <row r="173">
      <c r="A173" s="5" t="n">
        <v>171</v>
      </c>
      <c r="B173" s="52">
        <f>1+(1-捕魚機!$B$5)*B172+捕魚機!$B$5*B171</f>
        <v/>
      </c>
    </row>
    <row r="174">
      <c r="A174" s="5" t="n">
        <v>172</v>
      </c>
      <c r="B174" s="52">
        <f>1+(1-捕魚機!$B$5)*B173+捕魚機!$B$5*B172</f>
        <v/>
      </c>
    </row>
    <row r="175">
      <c r="A175" s="5" t="n">
        <v>173</v>
      </c>
      <c r="B175" s="52">
        <f>1+(1-捕魚機!$B$5)*B174+捕魚機!$B$5*B173</f>
        <v/>
      </c>
    </row>
    <row r="176">
      <c r="A176" s="5" t="n">
        <v>174</v>
      </c>
      <c r="B176" s="52">
        <f>1+(1-捕魚機!$B$5)*B175+捕魚機!$B$5*B174</f>
        <v/>
      </c>
    </row>
    <row r="177">
      <c r="A177" s="5" t="n">
        <v>175</v>
      </c>
      <c r="B177" s="52">
        <f>1+(1-捕魚機!$B$5)*B176+捕魚機!$B$5*B175</f>
        <v/>
      </c>
    </row>
    <row r="178">
      <c r="A178" s="5" t="n">
        <v>176</v>
      </c>
      <c r="B178" s="52">
        <f>1+(1-捕魚機!$B$5)*B177+捕魚機!$B$5*B176</f>
        <v/>
      </c>
    </row>
    <row r="179">
      <c r="A179" s="5" t="n">
        <v>177</v>
      </c>
      <c r="B179" s="52">
        <f>1+(1-捕魚機!$B$5)*B178+捕魚機!$B$5*B177</f>
        <v/>
      </c>
    </row>
    <row r="180">
      <c r="A180" s="5" t="n">
        <v>178</v>
      </c>
      <c r="B180" s="52">
        <f>1+(1-捕魚機!$B$5)*B179+捕魚機!$B$5*B178</f>
        <v/>
      </c>
    </row>
    <row r="181">
      <c r="A181" s="5" t="n">
        <v>179</v>
      </c>
      <c r="B181" s="52">
        <f>1+(1-捕魚機!$B$5)*B180+捕魚機!$B$5*B179</f>
        <v/>
      </c>
    </row>
    <row r="182">
      <c r="A182" s="5" t="n">
        <v>180</v>
      </c>
      <c r="B182" s="52">
        <f>1+(1-捕魚機!$B$5)*B181+捕魚機!$B$5*B180</f>
        <v/>
      </c>
    </row>
    <row r="183">
      <c r="A183" s="5" t="n">
        <v>181</v>
      </c>
      <c r="B183" s="52">
        <f>1+(1-捕魚機!$B$5)*B182+捕魚機!$B$5*B181</f>
        <v/>
      </c>
    </row>
    <row r="184">
      <c r="A184" s="5" t="n">
        <v>182</v>
      </c>
      <c r="B184" s="52">
        <f>1+(1-捕魚機!$B$5)*B183+捕魚機!$B$5*B182</f>
        <v/>
      </c>
    </row>
    <row r="185">
      <c r="A185" s="5" t="n">
        <v>183</v>
      </c>
      <c r="B185" s="52">
        <f>1+(1-捕魚機!$B$5)*B184+捕魚機!$B$5*B183</f>
        <v/>
      </c>
    </row>
    <row r="186">
      <c r="A186" s="5" t="n">
        <v>184</v>
      </c>
      <c r="B186" s="52">
        <f>1+(1-捕魚機!$B$5)*B185+捕魚機!$B$5*B184</f>
        <v/>
      </c>
    </row>
    <row r="187">
      <c r="A187" s="5" t="n">
        <v>185</v>
      </c>
      <c r="B187" s="52">
        <f>1+(1-捕魚機!$B$5)*B186+捕魚機!$B$5*B185</f>
        <v/>
      </c>
    </row>
    <row r="188">
      <c r="A188" s="5" t="n">
        <v>186</v>
      </c>
      <c r="B188" s="52">
        <f>1+(1-捕魚機!$B$5)*B187+捕魚機!$B$5*B186</f>
        <v/>
      </c>
    </row>
    <row r="189">
      <c r="A189" s="5" t="n">
        <v>187</v>
      </c>
      <c r="B189" s="52">
        <f>1+(1-捕魚機!$B$5)*B188+捕魚機!$B$5*B187</f>
        <v/>
      </c>
    </row>
    <row r="190">
      <c r="A190" s="5" t="n">
        <v>188</v>
      </c>
      <c r="B190" s="52">
        <f>1+(1-捕魚機!$B$5)*B189+捕魚機!$B$5*B188</f>
        <v/>
      </c>
    </row>
    <row r="191">
      <c r="A191" s="5" t="n">
        <v>189</v>
      </c>
      <c r="B191" s="52">
        <f>1+(1-捕魚機!$B$5)*B190+捕魚機!$B$5*B189</f>
        <v/>
      </c>
    </row>
    <row r="192">
      <c r="A192" s="5" t="n">
        <v>190</v>
      </c>
      <c r="B192" s="52">
        <f>1+(1-捕魚機!$B$5)*B191+捕魚機!$B$5*B190</f>
        <v/>
      </c>
    </row>
    <row r="193">
      <c r="A193" s="5" t="n">
        <v>191</v>
      </c>
      <c r="B193" s="52">
        <f>1+(1-捕魚機!$B$5)*B192+捕魚機!$B$5*B191</f>
        <v/>
      </c>
    </row>
    <row r="194">
      <c r="A194" s="5" t="n">
        <v>192</v>
      </c>
      <c r="B194" s="52">
        <f>1+(1-捕魚機!$B$5)*B193+捕魚機!$B$5*B192</f>
        <v/>
      </c>
    </row>
    <row r="195">
      <c r="A195" s="5" t="n">
        <v>193</v>
      </c>
      <c r="B195" s="52">
        <f>1+(1-捕魚機!$B$5)*B194+捕魚機!$B$5*B193</f>
        <v/>
      </c>
    </row>
    <row r="196">
      <c r="A196" s="5" t="n">
        <v>194</v>
      </c>
      <c r="B196" s="52">
        <f>1+(1-捕魚機!$B$5)*B195+捕魚機!$B$5*B194</f>
        <v/>
      </c>
    </row>
    <row r="197">
      <c r="A197" s="5" t="n">
        <v>195</v>
      </c>
      <c r="B197" s="52">
        <f>1+(1-捕魚機!$B$5)*B196+捕魚機!$B$5*B195</f>
        <v/>
      </c>
    </row>
    <row r="198">
      <c r="A198" s="5" t="n">
        <v>196</v>
      </c>
      <c r="B198" s="52">
        <f>1+(1-捕魚機!$B$5)*B197+捕魚機!$B$5*B196</f>
        <v/>
      </c>
    </row>
    <row r="199">
      <c r="A199" s="5" t="n">
        <v>197</v>
      </c>
      <c r="B199" s="52">
        <f>1+(1-捕魚機!$B$5)*B198+捕魚機!$B$5*B197</f>
        <v/>
      </c>
    </row>
    <row r="200">
      <c r="A200" s="5" t="n">
        <v>198</v>
      </c>
      <c r="B200" s="52">
        <f>1+(1-捕魚機!$B$5)*B199+捕魚機!$B$5*B198</f>
        <v/>
      </c>
    </row>
    <row r="201">
      <c r="A201" s="5" t="n">
        <v>199</v>
      </c>
      <c r="B201" s="52">
        <f>1+(1-捕魚機!$B$5)*B200+捕魚機!$B$5*B199</f>
        <v/>
      </c>
    </row>
    <row r="202">
      <c r="A202" s="5" t="n">
        <v>200</v>
      </c>
      <c r="B202" s="52">
        <f>1+(1-捕魚機!$B$5)*B201+捕魚機!$B$5*B200</f>
        <v/>
      </c>
    </row>
    <row r="203">
      <c r="A203" s="5" t="n">
        <v>201</v>
      </c>
      <c r="B203" s="52">
        <f>1+(1-捕魚機!$B$5)*B202+捕魚機!$B$5*B201</f>
        <v/>
      </c>
    </row>
    <row r="204">
      <c r="A204" s="5" t="n">
        <v>202</v>
      </c>
      <c r="B204" s="52">
        <f>1+(1-捕魚機!$B$5)*B203+捕魚機!$B$5*B202</f>
        <v/>
      </c>
    </row>
    <row r="205">
      <c r="A205" s="5" t="n">
        <v>203</v>
      </c>
      <c r="B205" s="52">
        <f>1+(1-捕魚機!$B$5)*B204+捕魚機!$B$5*B203</f>
        <v/>
      </c>
    </row>
    <row r="206">
      <c r="A206" s="5" t="n">
        <v>204</v>
      </c>
      <c r="B206" s="52">
        <f>1+(1-捕魚機!$B$5)*B205+捕魚機!$B$5*B204</f>
        <v/>
      </c>
    </row>
    <row r="207">
      <c r="A207" s="5" t="n">
        <v>205</v>
      </c>
      <c r="B207" s="52">
        <f>1+(1-捕魚機!$B$5)*B206+捕魚機!$B$5*B205</f>
        <v/>
      </c>
    </row>
    <row r="208">
      <c r="A208" s="5" t="n">
        <v>206</v>
      </c>
      <c r="B208" s="52">
        <f>1+(1-捕魚機!$B$5)*B207+捕魚機!$B$5*B206</f>
        <v/>
      </c>
    </row>
    <row r="209">
      <c r="A209" s="5" t="n">
        <v>207</v>
      </c>
      <c r="B209" s="52">
        <f>1+(1-捕魚機!$B$5)*B208+捕魚機!$B$5*B207</f>
        <v/>
      </c>
    </row>
    <row r="210">
      <c r="A210" s="5" t="n">
        <v>208</v>
      </c>
      <c r="B210" s="52">
        <f>1+(1-捕魚機!$B$5)*B209+捕魚機!$B$5*B208</f>
        <v/>
      </c>
    </row>
    <row r="211">
      <c r="A211" s="5" t="n">
        <v>209</v>
      </c>
      <c r="B211" s="52">
        <f>1+(1-捕魚機!$B$5)*B210+捕魚機!$B$5*B209</f>
        <v/>
      </c>
    </row>
    <row r="212">
      <c r="A212" s="5" t="n">
        <v>210</v>
      </c>
      <c r="B212" s="52">
        <f>1+(1-捕魚機!$B$5)*B211+捕魚機!$B$5*B210</f>
        <v/>
      </c>
    </row>
    <row r="213">
      <c r="A213" s="5" t="n">
        <v>211</v>
      </c>
      <c r="B213" s="52">
        <f>1+(1-捕魚機!$B$5)*B212+捕魚機!$B$5*B211</f>
        <v/>
      </c>
    </row>
    <row r="214">
      <c r="A214" s="5" t="n">
        <v>212</v>
      </c>
      <c r="B214" s="52">
        <f>1+(1-捕魚機!$B$5)*B213+捕魚機!$B$5*B212</f>
        <v/>
      </c>
    </row>
    <row r="215">
      <c r="A215" s="5" t="n">
        <v>213</v>
      </c>
      <c r="B215" s="52">
        <f>1+(1-捕魚機!$B$5)*B214+捕魚機!$B$5*B213</f>
        <v/>
      </c>
    </row>
    <row r="216">
      <c r="A216" s="5" t="n">
        <v>214</v>
      </c>
      <c r="B216" s="52">
        <f>1+(1-捕魚機!$B$5)*B215+捕魚機!$B$5*B214</f>
        <v/>
      </c>
    </row>
    <row r="217">
      <c r="A217" s="5" t="n">
        <v>215</v>
      </c>
      <c r="B217" s="52">
        <f>1+(1-捕魚機!$B$5)*B216+捕魚機!$B$5*B215</f>
        <v/>
      </c>
    </row>
    <row r="218">
      <c r="A218" s="5" t="n">
        <v>216</v>
      </c>
      <c r="B218" s="52">
        <f>1+(1-捕魚機!$B$5)*B217+捕魚機!$B$5*B216</f>
        <v/>
      </c>
    </row>
    <row r="219">
      <c r="A219" s="5" t="n">
        <v>217</v>
      </c>
      <c r="B219" s="52">
        <f>1+(1-捕魚機!$B$5)*B218+捕魚機!$B$5*B217</f>
        <v/>
      </c>
    </row>
    <row r="220">
      <c r="A220" s="5" t="n">
        <v>218</v>
      </c>
      <c r="B220" s="52">
        <f>1+(1-捕魚機!$B$5)*B219+捕魚機!$B$5*B218</f>
        <v/>
      </c>
    </row>
    <row r="221">
      <c r="A221" s="5" t="n">
        <v>219</v>
      </c>
      <c r="B221" s="52">
        <f>1+(1-捕魚機!$B$5)*B220+捕魚機!$B$5*B219</f>
        <v/>
      </c>
    </row>
    <row r="222">
      <c r="A222" s="5" t="n">
        <v>220</v>
      </c>
      <c r="B222" s="52">
        <f>1+(1-捕魚機!$B$5)*B221+捕魚機!$B$5*B220</f>
        <v/>
      </c>
    </row>
    <row r="223">
      <c r="A223" s="5" t="n">
        <v>221</v>
      </c>
      <c r="B223" s="52">
        <f>1+(1-捕魚機!$B$5)*B222+捕魚機!$B$5*B221</f>
        <v/>
      </c>
    </row>
    <row r="224">
      <c r="A224" s="5" t="n">
        <v>222</v>
      </c>
      <c r="B224" s="52">
        <f>1+(1-捕魚機!$B$5)*B223+捕魚機!$B$5*B222</f>
        <v/>
      </c>
    </row>
    <row r="225">
      <c r="A225" s="5" t="n">
        <v>223</v>
      </c>
      <c r="B225" s="52">
        <f>1+(1-捕魚機!$B$5)*B224+捕魚機!$B$5*B223</f>
        <v/>
      </c>
    </row>
    <row r="226">
      <c r="A226" s="5" t="n">
        <v>224</v>
      </c>
      <c r="B226" s="52">
        <f>1+(1-捕魚機!$B$5)*B225+捕魚機!$B$5*B224</f>
        <v/>
      </c>
    </row>
    <row r="227">
      <c r="A227" s="5" t="n">
        <v>225</v>
      </c>
      <c r="B227" s="52">
        <f>1+(1-捕魚機!$B$5)*B226+捕魚機!$B$5*B225</f>
        <v/>
      </c>
    </row>
    <row r="228">
      <c r="A228" s="5" t="n">
        <v>226</v>
      </c>
      <c r="B228" s="52">
        <f>1+(1-捕魚機!$B$5)*B227+捕魚機!$B$5*B226</f>
        <v/>
      </c>
    </row>
    <row r="229">
      <c r="A229" s="5" t="n">
        <v>227</v>
      </c>
      <c r="B229" s="52">
        <f>1+(1-捕魚機!$B$5)*B228+捕魚機!$B$5*B227</f>
        <v/>
      </c>
    </row>
    <row r="230">
      <c r="A230" s="5" t="n">
        <v>228</v>
      </c>
      <c r="B230" s="52">
        <f>1+(1-捕魚機!$B$5)*B229+捕魚機!$B$5*B228</f>
        <v/>
      </c>
    </row>
    <row r="231">
      <c r="A231" s="5" t="n">
        <v>229</v>
      </c>
      <c r="B231" s="52">
        <f>1+(1-捕魚機!$B$5)*B230+捕魚機!$B$5*B229</f>
        <v/>
      </c>
    </row>
    <row r="232">
      <c r="A232" s="5" t="n">
        <v>230</v>
      </c>
      <c r="B232" s="52">
        <f>1+(1-捕魚機!$B$5)*B231+捕魚機!$B$5*B230</f>
        <v/>
      </c>
    </row>
    <row r="233">
      <c r="A233" s="5" t="n">
        <v>231</v>
      </c>
      <c r="B233" s="52">
        <f>1+(1-捕魚機!$B$5)*B232+捕魚機!$B$5*B231</f>
        <v/>
      </c>
    </row>
    <row r="234">
      <c r="A234" s="5" t="n">
        <v>232</v>
      </c>
      <c r="B234" s="52">
        <f>1+(1-捕魚機!$B$5)*B233+捕魚機!$B$5*B232</f>
        <v/>
      </c>
    </row>
    <row r="235">
      <c r="A235" s="5" t="n">
        <v>233</v>
      </c>
      <c r="B235" s="52">
        <f>1+(1-捕魚機!$B$5)*B234+捕魚機!$B$5*B233</f>
        <v/>
      </c>
    </row>
    <row r="236">
      <c r="A236" s="5" t="n">
        <v>234</v>
      </c>
      <c r="B236" s="52">
        <f>1+(1-捕魚機!$B$5)*B235+捕魚機!$B$5*B234</f>
        <v/>
      </c>
    </row>
    <row r="237">
      <c r="A237" s="5" t="n">
        <v>235</v>
      </c>
      <c r="B237" s="52">
        <f>1+(1-捕魚機!$B$5)*B236+捕魚機!$B$5*B235</f>
        <v/>
      </c>
    </row>
    <row r="238">
      <c r="A238" s="5" t="n">
        <v>236</v>
      </c>
      <c r="B238" s="52">
        <f>1+(1-捕魚機!$B$5)*B237+捕魚機!$B$5*B236</f>
        <v/>
      </c>
    </row>
    <row r="239">
      <c r="A239" s="5" t="n">
        <v>237</v>
      </c>
      <c r="B239" s="52">
        <f>1+(1-捕魚機!$B$5)*B238+捕魚機!$B$5*B237</f>
        <v/>
      </c>
    </row>
    <row r="240">
      <c r="A240" s="5" t="n">
        <v>238</v>
      </c>
      <c r="B240" s="52">
        <f>1+(1-捕魚機!$B$5)*B239+捕魚機!$B$5*B238</f>
        <v/>
      </c>
    </row>
    <row r="241">
      <c r="A241" s="5" t="n">
        <v>239</v>
      </c>
      <c r="B241" s="52">
        <f>1+(1-捕魚機!$B$5)*B240+捕魚機!$B$5*B239</f>
        <v/>
      </c>
    </row>
    <row r="242">
      <c r="A242" s="5" t="n">
        <v>240</v>
      </c>
      <c r="B242" s="52">
        <f>1+(1-捕魚機!$B$5)*B241+捕魚機!$B$5*B240</f>
        <v/>
      </c>
    </row>
    <row r="243">
      <c r="A243" s="5" t="n">
        <v>241</v>
      </c>
      <c r="B243" s="52">
        <f>1+(1-捕魚機!$B$5)*B242+捕魚機!$B$5*B241</f>
        <v/>
      </c>
    </row>
    <row r="244">
      <c r="A244" s="5" t="n">
        <v>242</v>
      </c>
      <c r="B244" s="52">
        <f>1+(1-捕魚機!$B$5)*B243+捕魚機!$B$5*B242</f>
        <v/>
      </c>
    </row>
    <row r="245">
      <c r="A245" s="5" t="n">
        <v>243</v>
      </c>
      <c r="B245" s="52">
        <f>1+(1-捕魚機!$B$5)*B244+捕魚機!$B$5*B243</f>
        <v/>
      </c>
    </row>
    <row r="246">
      <c r="A246" s="5" t="n">
        <v>244</v>
      </c>
      <c r="B246" s="52">
        <f>1+(1-捕魚機!$B$5)*B245+捕魚機!$B$5*B244</f>
        <v/>
      </c>
    </row>
    <row r="247">
      <c r="A247" s="5" t="n">
        <v>245</v>
      </c>
      <c r="B247" s="52">
        <f>1+(1-捕魚機!$B$5)*B246+捕魚機!$B$5*B245</f>
        <v/>
      </c>
    </row>
    <row r="248">
      <c r="A248" s="5" t="n">
        <v>246</v>
      </c>
      <c r="B248" s="52">
        <f>1+(1-捕魚機!$B$5)*B247+捕魚機!$B$5*B246</f>
        <v/>
      </c>
    </row>
    <row r="249">
      <c r="A249" s="5" t="n">
        <v>247</v>
      </c>
      <c r="B249" s="52">
        <f>1+(1-捕魚機!$B$5)*B248+捕魚機!$B$5*B247</f>
        <v/>
      </c>
    </row>
    <row r="250">
      <c r="A250" s="5" t="n">
        <v>248</v>
      </c>
      <c r="B250" s="52">
        <f>1+(1-捕魚機!$B$5)*B249+捕魚機!$B$5*B248</f>
        <v/>
      </c>
    </row>
    <row r="251">
      <c r="A251" s="5" t="n">
        <v>249</v>
      </c>
      <c r="B251" s="52">
        <f>1+(1-捕魚機!$B$5)*B250+捕魚機!$B$5*B249</f>
        <v/>
      </c>
    </row>
    <row r="252">
      <c r="A252" s="5" t="n">
        <v>250</v>
      </c>
      <c r="B252" s="52">
        <f>1+(1-捕魚機!$B$5)*B251+捕魚機!$B$5*B250</f>
        <v/>
      </c>
    </row>
    <row r="253">
      <c r="A253" s="5" t="n">
        <v>251</v>
      </c>
      <c r="B253" s="52">
        <f>1+(1-捕魚機!$B$5)*B252+捕魚機!$B$5*B251</f>
        <v/>
      </c>
    </row>
    <row r="254">
      <c r="A254" s="5" t="n">
        <v>252</v>
      </c>
      <c r="B254" s="52">
        <f>1+(1-捕魚機!$B$5)*B253+捕魚機!$B$5*B252</f>
        <v/>
      </c>
    </row>
    <row r="255">
      <c r="A255" s="5" t="n">
        <v>253</v>
      </c>
      <c r="B255" s="52">
        <f>1+(1-捕魚機!$B$5)*B254+捕魚機!$B$5*B253</f>
        <v/>
      </c>
    </row>
    <row r="256">
      <c r="A256" s="5" t="n">
        <v>254</v>
      </c>
      <c r="B256" s="52">
        <f>1+(1-捕魚機!$B$5)*B255+捕魚機!$B$5*B254</f>
        <v/>
      </c>
    </row>
    <row r="257">
      <c r="A257" s="5" t="n">
        <v>255</v>
      </c>
      <c r="B257" s="52">
        <f>1+(1-捕魚機!$B$5)*B256+捕魚機!$B$5*B255</f>
        <v/>
      </c>
    </row>
    <row r="258">
      <c r="A258" s="5" t="n">
        <v>256</v>
      </c>
      <c r="B258" s="52">
        <f>1+(1-捕魚機!$B$5)*B257+捕魚機!$B$5*B256</f>
        <v/>
      </c>
    </row>
    <row r="259">
      <c r="A259" s="5" t="n">
        <v>257</v>
      </c>
      <c r="B259" s="52">
        <f>1+(1-捕魚機!$B$5)*B258+捕魚機!$B$5*B257</f>
        <v/>
      </c>
    </row>
    <row r="260">
      <c r="A260" s="5" t="n">
        <v>258</v>
      </c>
      <c r="B260" s="52">
        <f>1+(1-捕魚機!$B$5)*B259+捕魚機!$B$5*B258</f>
        <v/>
      </c>
    </row>
    <row r="261">
      <c r="A261" s="5" t="n">
        <v>259</v>
      </c>
      <c r="B261" s="52">
        <f>1+(1-捕魚機!$B$5)*B260+捕魚機!$B$5*B259</f>
        <v/>
      </c>
    </row>
    <row r="262">
      <c r="A262" s="5" t="n">
        <v>260</v>
      </c>
      <c r="B262" s="52">
        <f>1+(1-捕魚機!$B$5)*B261+捕魚機!$B$5*B260</f>
        <v/>
      </c>
    </row>
    <row r="263">
      <c r="A263" s="5" t="n">
        <v>261</v>
      </c>
      <c r="B263" s="52">
        <f>1+(1-捕魚機!$B$5)*B262+捕魚機!$B$5*B261</f>
        <v/>
      </c>
    </row>
    <row r="264">
      <c r="A264" s="5" t="n">
        <v>262</v>
      </c>
      <c r="B264" s="52">
        <f>1+(1-捕魚機!$B$5)*B263+捕魚機!$B$5*B262</f>
        <v/>
      </c>
    </row>
    <row r="265">
      <c r="A265" s="5" t="n">
        <v>263</v>
      </c>
      <c r="B265" s="52">
        <f>1+(1-捕魚機!$B$5)*B264+捕魚機!$B$5*B263</f>
        <v/>
      </c>
    </row>
    <row r="266">
      <c r="A266" s="5" t="n">
        <v>264</v>
      </c>
      <c r="B266" s="52">
        <f>1+(1-捕魚機!$B$5)*B265+捕魚機!$B$5*B264</f>
        <v/>
      </c>
    </row>
    <row r="267">
      <c r="A267" s="5" t="n">
        <v>265</v>
      </c>
      <c r="B267" s="52">
        <f>1+(1-捕魚機!$B$5)*B266+捕魚機!$B$5*B265</f>
        <v/>
      </c>
    </row>
    <row r="268">
      <c r="A268" s="5" t="n">
        <v>266</v>
      </c>
      <c r="B268" s="52">
        <f>1+(1-捕魚機!$B$5)*B267+捕魚機!$B$5*B266</f>
        <v/>
      </c>
    </row>
    <row r="269">
      <c r="A269" s="5" t="n">
        <v>267</v>
      </c>
      <c r="B269" s="52">
        <f>1+(1-捕魚機!$B$5)*B268+捕魚機!$B$5*B267</f>
        <v/>
      </c>
    </row>
    <row r="270">
      <c r="A270" s="5" t="n">
        <v>268</v>
      </c>
      <c r="B270" s="52">
        <f>1+(1-捕魚機!$B$5)*B269+捕魚機!$B$5*B268</f>
        <v/>
      </c>
    </row>
    <row r="271">
      <c r="A271" s="5" t="n">
        <v>269</v>
      </c>
      <c r="B271" s="52">
        <f>1+(1-捕魚機!$B$5)*B270+捕魚機!$B$5*B269</f>
        <v/>
      </c>
    </row>
    <row r="272">
      <c r="A272" s="5" t="n">
        <v>270</v>
      </c>
      <c r="B272" s="52">
        <f>1+(1-捕魚機!$B$5)*B271+捕魚機!$B$5*B270</f>
        <v/>
      </c>
    </row>
    <row r="273">
      <c r="A273" s="5" t="n">
        <v>271</v>
      </c>
      <c r="B273" s="52">
        <f>1+(1-捕魚機!$B$5)*B272+捕魚機!$B$5*B271</f>
        <v/>
      </c>
    </row>
    <row r="274">
      <c r="A274" s="5" t="n">
        <v>272</v>
      </c>
      <c r="B274" s="52">
        <f>1+(1-捕魚機!$B$5)*B273+捕魚機!$B$5*B272</f>
        <v/>
      </c>
    </row>
    <row r="275">
      <c r="A275" s="5" t="n">
        <v>273</v>
      </c>
      <c r="B275" s="52">
        <f>1+(1-捕魚機!$B$5)*B274+捕魚機!$B$5*B273</f>
        <v/>
      </c>
    </row>
    <row r="276">
      <c r="A276" s="5" t="n">
        <v>274</v>
      </c>
      <c r="B276" s="52">
        <f>1+(1-捕魚機!$B$5)*B275+捕魚機!$B$5*B274</f>
        <v/>
      </c>
    </row>
    <row r="277">
      <c r="A277" s="5" t="n">
        <v>275</v>
      </c>
      <c r="B277" s="52">
        <f>1+(1-捕魚機!$B$5)*B276+捕魚機!$B$5*B275</f>
        <v/>
      </c>
    </row>
    <row r="278">
      <c r="A278" s="5" t="n">
        <v>276</v>
      </c>
      <c r="B278" s="52">
        <f>1+(1-捕魚機!$B$5)*B277+捕魚機!$B$5*B276</f>
        <v/>
      </c>
    </row>
    <row r="279">
      <c r="A279" s="5" t="n">
        <v>277</v>
      </c>
      <c r="B279" s="52">
        <f>1+(1-捕魚機!$B$5)*B278+捕魚機!$B$5*B277</f>
        <v/>
      </c>
    </row>
    <row r="280">
      <c r="A280" s="5" t="n">
        <v>278</v>
      </c>
      <c r="B280" s="52">
        <f>1+(1-捕魚機!$B$5)*B279+捕魚機!$B$5*B278</f>
        <v/>
      </c>
    </row>
    <row r="281">
      <c r="A281" s="5" t="n">
        <v>279</v>
      </c>
      <c r="B281" s="52">
        <f>1+(1-捕魚機!$B$5)*B280+捕魚機!$B$5*B279</f>
        <v/>
      </c>
    </row>
    <row r="282">
      <c r="A282" s="5" t="n">
        <v>280</v>
      </c>
      <c r="B282" s="52">
        <f>1+(1-捕魚機!$B$5)*B281+捕魚機!$B$5*B280</f>
        <v/>
      </c>
    </row>
    <row r="283">
      <c r="A283" s="5" t="n">
        <v>281</v>
      </c>
      <c r="B283" s="52">
        <f>1+(1-捕魚機!$B$5)*B282+捕魚機!$B$5*B281</f>
        <v/>
      </c>
    </row>
    <row r="284">
      <c r="A284" s="5" t="n">
        <v>282</v>
      </c>
      <c r="B284" s="52">
        <f>1+(1-捕魚機!$B$5)*B283+捕魚機!$B$5*B282</f>
        <v/>
      </c>
    </row>
    <row r="285">
      <c r="A285" s="5" t="n">
        <v>283</v>
      </c>
      <c r="B285" s="52">
        <f>1+(1-捕魚機!$B$5)*B284+捕魚機!$B$5*B283</f>
        <v/>
      </c>
    </row>
    <row r="286">
      <c r="A286" s="5" t="n">
        <v>284</v>
      </c>
      <c r="B286" s="52">
        <f>1+(1-捕魚機!$B$5)*B285+捕魚機!$B$5*B284</f>
        <v/>
      </c>
    </row>
    <row r="287">
      <c r="A287" s="5" t="n">
        <v>285</v>
      </c>
      <c r="B287" s="52">
        <f>1+(1-捕魚機!$B$5)*B286+捕魚機!$B$5*B285</f>
        <v/>
      </c>
    </row>
    <row r="288">
      <c r="A288" s="5" t="n">
        <v>286</v>
      </c>
      <c r="B288" s="52">
        <f>1+(1-捕魚機!$B$5)*B287+捕魚機!$B$5*B286</f>
        <v/>
      </c>
    </row>
    <row r="289">
      <c r="A289" s="5" t="n">
        <v>287</v>
      </c>
      <c r="B289" s="52">
        <f>1+(1-捕魚機!$B$5)*B288+捕魚機!$B$5*B287</f>
        <v/>
      </c>
    </row>
    <row r="290">
      <c r="A290" s="5" t="n">
        <v>288</v>
      </c>
      <c r="B290" s="52">
        <f>1+(1-捕魚機!$B$5)*B289+捕魚機!$B$5*B288</f>
        <v/>
      </c>
    </row>
    <row r="291">
      <c r="A291" s="5" t="n">
        <v>289</v>
      </c>
      <c r="B291" s="52">
        <f>1+(1-捕魚機!$B$5)*B290+捕魚機!$B$5*B289</f>
        <v/>
      </c>
    </row>
    <row r="292">
      <c r="A292" s="5" t="n">
        <v>290</v>
      </c>
      <c r="B292" s="52">
        <f>1+(1-捕魚機!$B$5)*B291+捕魚機!$B$5*B290</f>
        <v/>
      </c>
    </row>
    <row r="293">
      <c r="A293" s="5" t="n">
        <v>291</v>
      </c>
      <c r="B293" s="52">
        <f>1+(1-捕魚機!$B$5)*B292+捕魚機!$B$5*B291</f>
        <v/>
      </c>
    </row>
    <row r="294">
      <c r="A294" s="5" t="n">
        <v>292</v>
      </c>
      <c r="B294" s="52">
        <f>1+(1-捕魚機!$B$5)*B293+捕魚機!$B$5*B292</f>
        <v/>
      </c>
    </row>
    <row r="295">
      <c r="A295" s="5" t="n">
        <v>293</v>
      </c>
      <c r="B295" s="52">
        <f>1+(1-捕魚機!$B$5)*B294+捕魚機!$B$5*B293</f>
        <v/>
      </c>
    </row>
    <row r="296">
      <c r="A296" s="5" t="n">
        <v>294</v>
      </c>
      <c r="B296" s="52">
        <f>1+(1-捕魚機!$B$5)*B295+捕魚機!$B$5*B294</f>
        <v/>
      </c>
    </row>
    <row r="297">
      <c r="A297" s="5" t="n">
        <v>295</v>
      </c>
      <c r="B297" s="52">
        <f>1+(1-捕魚機!$B$5)*B296+捕魚機!$B$5*B295</f>
        <v/>
      </c>
    </row>
    <row r="298">
      <c r="A298" s="5" t="n">
        <v>296</v>
      </c>
      <c r="B298" s="52">
        <f>1+(1-捕魚機!$B$5)*B297+捕魚機!$B$5*B296</f>
        <v/>
      </c>
    </row>
    <row r="299">
      <c r="A299" s="5" t="n">
        <v>297</v>
      </c>
      <c r="B299" s="52">
        <f>1+(1-捕魚機!$B$5)*B298+捕魚機!$B$5*B297</f>
        <v/>
      </c>
    </row>
    <row r="300">
      <c r="A300" s="5" t="n">
        <v>298</v>
      </c>
      <c r="B300" s="52">
        <f>1+(1-捕魚機!$B$5)*B299+捕魚機!$B$5*B298</f>
        <v/>
      </c>
    </row>
    <row r="301">
      <c r="A301" s="5" t="n">
        <v>299</v>
      </c>
      <c r="B301" s="52">
        <f>1+(1-捕魚機!$B$5)*B300+捕魚機!$B$5*B299</f>
        <v/>
      </c>
    </row>
    <row r="302">
      <c r="A302" s="5" t="n">
        <v>300</v>
      </c>
      <c r="B302" s="52">
        <f>1+(1-捕魚機!$B$5)*B301+捕魚機!$B$5*B300</f>
        <v/>
      </c>
    </row>
    <row r="303">
      <c r="A303" s="5" t="n">
        <v>301</v>
      </c>
      <c r="B303" s="52">
        <f>1+(1-捕魚機!$B$5)*B302+捕魚機!$B$5*B301</f>
        <v/>
      </c>
    </row>
    <row r="304">
      <c r="A304" s="5" t="n">
        <v>302</v>
      </c>
      <c r="B304" s="52">
        <f>1+(1-捕魚機!$B$5)*B303+捕魚機!$B$5*B302</f>
        <v/>
      </c>
    </row>
    <row r="305">
      <c r="A305" s="5" t="n">
        <v>303</v>
      </c>
      <c r="B305" s="52">
        <f>1+(1-捕魚機!$B$5)*B304+捕魚機!$B$5*B303</f>
        <v/>
      </c>
    </row>
    <row r="306">
      <c r="A306" s="5" t="n">
        <v>304</v>
      </c>
      <c r="B306" s="52">
        <f>1+(1-捕魚機!$B$5)*B305+捕魚機!$B$5*B304</f>
        <v/>
      </c>
    </row>
    <row r="307">
      <c r="A307" s="5" t="n">
        <v>305</v>
      </c>
      <c r="B307" s="52">
        <f>1+(1-捕魚機!$B$5)*B306+捕魚機!$B$5*B305</f>
        <v/>
      </c>
    </row>
    <row r="308">
      <c r="A308" s="5" t="n">
        <v>306</v>
      </c>
      <c r="B308" s="52">
        <f>1+(1-捕魚機!$B$5)*B307+捕魚機!$B$5*B306</f>
        <v/>
      </c>
    </row>
    <row r="309">
      <c r="A309" s="5" t="n">
        <v>307</v>
      </c>
      <c r="B309" s="52">
        <f>1+(1-捕魚機!$B$5)*B308+捕魚機!$B$5*B307</f>
        <v/>
      </c>
    </row>
    <row r="310">
      <c r="A310" s="5" t="n">
        <v>308</v>
      </c>
      <c r="B310" s="52">
        <f>1+(1-捕魚機!$B$5)*B309+捕魚機!$B$5*B308</f>
        <v/>
      </c>
    </row>
    <row r="311">
      <c r="A311" s="5" t="n">
        <v>309</v>
      </c>
      <c r="B311" s="52">
        <f>1+(1-捕魚機!$B$5)*B310+捕魚機!$B$5*B309</f>
        <v/>
      </c>
    </row>
    <row r="312">
      <c r="A312" s="5" t="n">
        <v>310</v>
      </c>
      <c r="B312" s="52">
        <f>1+(1-捕魚機!$B$5)*B311+捕魚機!$B$5*B310</f>
        <v/>
      </c>
    </row>
    <row r="313">
      <c r="A313" s="5" t="n">
        <v>311</v>
      </c>
      <c r="B313" s="52">
        <f>1+(1-捕魚機!$B$5)*B312+捕魚機!$B$5*B311</f>
        <v/>
      </c>
    </row>
    <row r="314">
      <c r="A314" s="5" t="n">
        <v>312</v>
      </c>
      <c r="B314" s="52">
        <f>1+(1-捕魚機!$B$5)*B313+捕魚機!$B$5*B312</f>
        <v/>
      </c>
    </row>
    <row r="315">
      <c r="A315" s="5" t="n">
        <v>313</v>
      </c>
      <c r="B315" s="52">
        <f>1+(1-捕魚機!$B$5)*B314+捕魚機!$B$5*B313</f>
        <v/>
      </c>
    </row>
    <row r="316">
      <c r="A316" s="5" t="n">
        <v>314</v>
      </c>
      <c r="B316" s="52">
        <f>1+(1-捕魚機!$B$5)*B315+捕魚機!$B$5*B314</f>
        <v/>
      </c>
    </row>
    <row r="317">
      <c r="A317" s="5" t="n">
        <v>315</v>
      </c>
      <c r="B317" s="52">
        <f>1+(1-捕魚機!$B$5)*B316+捕魚機!$B$5*B315</f>
        <v/>
      </c>
    </row>
    <row r="318">
      <c r="A318" s="5" t="n">
        <v>316</v>
      </c>
      <c r="B318" s="52">
        <f>1+(1-捕魚機!$B$5)*B317+捕魚機!$B$5*B316</f>
        <v/>
      </c>
    </row>
    <row r="319">
      <c r="A319" s="5" t="n">
        <v>317</v>
      </c>
      <c r="B319" s="52">
        <f>1+(1-捕魚機!$B$5)*B318+捕魚機!$B$5*B317</f>
        <v/>
      </c>
    </row>
    <row r="320">
      <c r="A320" s="5" t="n">
        <v>318</v>
      </c>
      <c r="B320" s="52">
        <f>1+(1-捕魚機!$B$5)*B319+捕魚機!$B$5*B318</f>
        <v/>
      </c>
    </row>
    <row r="321">
      <c r="A321" s="5" t="n">
        <v>319</v>
      </c>
      <c r="B321" s="52">
        <f>1+(1-捕魚機!$B$5)*B320+捕魚機!$B$5*B319</f>
        <v/>
      </c>
    </row>
    <row r="322">
      <c r="A322" s="5" t="n">
        <v>320</v>
      </c>
      <c r="B322" s="52">
        <f>1+(1-捕魚機!$B$5)*B321+捕魚機!$B$5*B320</f>
        <v/>
      </c>
    </row>
    <row r="323">
      <c r="A323" s="5" t="n">
        <v>321</v>
      </c>
      <c r="B323" s="52">
        <f>1+(1-捕魚機!$B$5)*B322+捕魚機!$B$5*B321</f>
        <v/>
      </c>
    </row>
    <row r="324">
      <c r="A324" s="5" t="n">
        <v>322</v>
      </c>
      <c r="B324" s="52">
        <f>1+(1-捕魚機!$B$5)*B323+捕魚機!$B$5*B322</f>
        <v/>
      </c>
    </row>
    <row r="325">
      <c r="A325" s="5" t="n">
        <v>323</v>
      </c>
      <c r="B325" s="52">
        <f>1+(1-捕魚機!$B$5)*B324+捕魚機!$B$5*B323</f>
        <v/>
      </c>
    </row>
    <row r="326">
      <c r="A326" s="5" t="n">
        <v>324</v>
      </c>
      <c r="B326" s="52">
        <f>1+(1-捕魚機!$B$5)*B325+捕魚機!$B$5*B324</f>
        <v/>
      </c>
    </row>
    <row r="327">
      <c r="A327" s="5" t="n">
        <v>325</v>
      </c>
      <c r="B327" s="52">
        <f>1+(1-捕魚機!$B$5)*B326+捕魚機!$B$5*B325</f>
        <v/>
      </c>
    </row>
    <row r="328">
      <c r="A328" s="5" t="n">
        <v>326</v>
      </c>
      <c r="B328" s="52">
        <f>1+(1-捕魚機!$B$5)*B327+捕魚機!$B$5*B326</f>
        <v/>
      </c>
    </row>
    <row r="329">
      <c r="A329" s="5" t="n">
        <v>327</v>
      </c>
      <c r="B329" s="52">
        <f>1+(1-捕魚機!$B$5)*B328+捕魚機!$B$5*B327</f>
        <v/>
      </c>
    </row>
    <row r="330">
      <c r="A330" s="5" t="n">
        <v>328</v>
      </c>
      <c r="B330" s="52">
        <f>1+(1-捕魚機!$B$5)*B329+捕魚機!$B$5*B328</f>
        <v/>
      </c>
    </row>
    <row r="331">
      <c r="A331" s="5" t="n">
        <v>329</v>
      </c>
      <c r="B331" s="52">
        <f>1+(1-捕魚機!$B$5)*B330+捕魚機!$B$5*B329</f>
        <v/>
      </c>
    </row>
    <row r="332">
      <c r="A332" s="5" t="n">
        <v>330</v>
      </c>
      <c r="B332" s="52">
        <f>1+(1-捕魚機!$B$5)*B331+捕魚機!$B$5*B330</f>
        <v/>
      </c>
    </row>
    <row r="333">
      <c r="A333" s="5" t="n">
        <v>331</v>
      </c>
      <c r="B333" s="52">
        <f>1+(1-捕魚機!$B$5)*B332+捕魚機!$B$5*B331</f>
        <v/>
      </c>
    </row>
    <row r="334">
      <c r="A334" s="5" t="n">
        <v>332</v>
      </c>
      <c r="B334" s="52">
        <f>1+(1-捕魚機!$B$5)*B333+捕魚機!$B$5*B332</f>
        <v/>
      </c>
    </row>
    <row r="335">
      <c r="A335" s="5" t="n">
        <v>333</v>
      </c>
      <c r="B335" s="52">
        <f>1+(1-捕魚機!$B$5)*B334+捕魚機!$B$5*B333</f>
        <v/>
      </c>
    </row>
    <row r="336">
      <c r="A336" s="5" t="n">
        <v>334</v>
      </c>
      <c r="B336" s="52">
        <f>1+(1-捕魚機!$B$5)*B335+捕魚機!$B$5*B334</f>
        <v/>
      </c>
    </row>
    <row r="337">
      <c r="A337" s="5" t="n">
        <v>335</v>
      </c>
      <c r="B337" s="52">
        <f>1+(1-捕魚機!$B$5)*B336+捕魚機!$B$5*B335</f>
        <v/>
      </c>
    </row>
    <row r="338">
      <c r="A338" s="5" t="n">
        <v>336</v>
      </c>
      <c r="B338" s="52">
        <f>1+(1-捕魚機!$B$5)*B337+捕魚機!$B$5*B336</f>
        <v/>
      </c>
    </row>
    <row r="339">
      <c r="A339" s="5" t="n">
        <v>337</v>
      </c>
      <c r="B339" s="52">
        <f>1+(1-捕魚機!$B$5)*B338+捕魚機!$B$5*B337</f>
        <v/>
      </c>
    </row>
    <row r="340">
      <c r="A340" s="5" t="n">
        <v>338</v>
      </c>
      <c r="B340" s="52">
        <f>1+(1-捕魚機!$B$5)*B339+捕魚機!$B$5*B338</f>
        <v/>
      </c>
    </row>
    <row r="341">
      <c r="A341" s="5" t="n">
        <v>339</v>
      </c>
      <c r="B341" s="52">
        <f>1+(1-捕魚機!$B$5)*B340+捕魚機!$B$5*B339</f>
        <v/>
      </c>
    </row>
    <row r="342">
      <c r="A342" s="5" t="n">
        <v>340</v>
      </c>
      <c r="B342" s="52">
        <f>1+(1-捕魚機!$B$5)*B341+捕魚機!$B$5*B340</f>
        <v/>
      </c>
    </row>
    <row r="343">
      <c r="A343" s="5" t="n">
        <v>341</v>
      </c>
      <c r="B343" s="52">
        <f>1+(1-捕魚機!$B$5)*B342+捕魚機!$B$5*B341</f>
        <v/>
      </c>
    </row>
    <row r="344">
      <c r="A344" s="5" t="n">
        <v>342</v>
      </c>
      <c r="B344" s="52">
        <f>1+(1-捕魚機!$B$5)*B343+捕魚機!$B$5*B342</f>
        <v/>
      </c>
    </row>
    <row r="345">
      <c r="A345" s="5" t="n">
        <v>343</v>
      </c>
      <c r="B345" s="52">
        <f>1+(1-捕魚機!$B$5)*B344+捕魚機!$B$5*B343</f>
        <v/>
      </c>
    </row>
    <row r="346">
      <c r="A346" s="5" t="n">
        <v>344</v>
      </c>
      <c r="B346" s="52">
        <f>1+(1-捕魚機!$B$5)*B345+捕魚機!$B$5*B344</f>
        <v/>
      </c>
    </row>
    <row r="347">
      <c r="A347" s="5" t="n">
        <v>345</v>
      </c>
      <c r="B347" s="52">
        <f>1+(1-捕魚機!$B$5)*B346+捕魚機!$B$5*B345</f>
        <v/>
      </c>
    </row>
    <row r="348">
      <c r="A348" s="5" t="n">
        <v>346</v>
      </c>
      <c r="B348" s="52">
        <f>1+(1-捕魚機!$B$5)*B347+捕魚機!$B$5*B346</f>
        <v/>
      </c>
    </row>
    <row r="349">
      <c r="A349" s="5" t="n">
        <v>347</v>
      </c>
      <c r="B349" s="52">
        <f>1+(1-捕魚機!$B$5)*B348+捕魚機!$B$5*B347</f>
        <v/>
      </c>
    </row>
    <row r="350">
      <c r="A350" s="5" t="n">
        <v>348</v>
      </c>
      <c r="B350" s="52">
        <f>1+(1-捕魚機!$B$5)*B349+捕魚機!$B$5*B348</f>
        <v/>
      </c>
    </row>
    <row r="351">
      <c r="A351" s="5" t="n">
        <v>349</v>
      </c>
      <c r="B351" s="52">
        <f>1+(1-捕魚機!$B$5)*B350+捕魚機!$B$5*B349</f>
        <v/>
      </c>
    </row>
    <row r="352">
      <c r="A352" s="5" t="n">
        <v>350</v>
      </c>
      <c r="B352" s="52">
        <f>1+(1-捕魚機!$B$5)*B351+捕魚機!$B$5*B350</f>
        <v/>
      </c>
    </row>
    <row r="353">
      <c r="A353" s="5" t="n">
        <v>351</v>
      </c>
      <c r="B353" s="52">
        <f>1+(1-捕魚機!$B$5)*B352+捕魚機!$B$5*B351</f>
        <v/>
      </c>
    </row>
    <row r="354">
      <c r="A354" s="5" t="n">
        <v>352</v>
      </c>
      <c r="B354" s="52">
        <f>1+(1-捕魚機!$B$5)*B353+捕魚機!$B$5*B352</f>
        <v/>
      </c>
    </row>
    <row r="355">
      <c r="A355" s="5" t="n">
        <v>353</v>
      </c>
      <c r="B355" s="52">
        <f>1+(1-捕魚機!$B$5)*B354+捕魚機!$B$5*B353</f>
        <v/>
      </c>
    </row>
    <row r="356">
      <c r="A356" s="5" t="n">
        <v>354</v>
      </c>
      <c r="B356" s="52">
        <f>1+(1-捕魚機!$B$5)*B355+捕魚機!$B$5*B354</f>
        <v/>
      </c>
    </row>
    <row r="357">
      <c r="A357" s="5" t="n">
        <v>355</v>
      </c>
      <c r="B357" s="52">
        <f>1+(1-捕魚機!$B$5)*B356+捕魚機!$B$5*B355</f>
        <v/>
      </c>
    </row>
    <row r="358">
      <c r="A358" s="5" t="n">
        <v>356</v>
      </c>
      <c r="B358" s="52">
        <f>1+(1-捕魚機!$B$5)*B357+捕魚機!$B$5*B356</f>
        <v/>
      </c>
    </row>
    <row r="359">
      <c r="A359" s="5" t="n">
        <v>357</v>
      </c>
      <c r="B359" s="52">
        <f>1+(1-捕魚機!$B$5)*B358+捕魚機!$B$5*B357</f>
        <v/>
      </c>
    </row>
    <row r="360">
      <c r="A360" s="5" t="n">
        <v>358</v>
      </c>
      <c r="B360" s="52">
        <f>1+(1-捕魚機!$B$5)*B359+捕魚機!$B$5*B358</f>
        <v/>
      </c>
    </row>
    <row r="361">
      <c r="A361" s="5" t="n">
        <v>359</v>
      </c>
      <c r="B361" s="52">
        <f>1+(1-捕魚機!$B$5)*B360+捕魚機!$B$5*B359</f>
        <v/>
      </c>
    </row>
    <row r="362">
      <c r="A362" s="5" t="n">
        <v>360</v>
      </c>
      <c r="B362" s="52">
        <f>1+(1-捕魚機!$B$5)*B361+捕魚機!$B$5*B360</f>
        <v/>
      </c>
    </row>
    <row r="363">
      <c r="A363" s="5" t="n">
        <v>361</v>
      </c>
      <c r="B363" s="52">
        <f>1+(1-捕魚機!$B$5)*B362+捕魚機!$B$5*B361</f>
        <v/>
      </c>
    </row>
    <row r="364">
      <c r="A364" s="5" t="n">
        <v>362</v>
      </c>
      <c r="B364" s="52">
        <f>1+(1-捕魚機!$B$5)*B363+捕魚機!$B$5*B362</f>
        <v/>
      </c>
    </row>
    <row r="365">
      <c r="A365" s="5" t="n">
        <v>363</v>
      </c>
      <c r="B365" s="52">
        <f>1+(1-捕魚機!$B$5)*B364+捕魚機!$B$5*B363</f>
        <v/>
      </c>
    </row>
    <row r="366">
      <c r="A366" s="5" t="n">
        <v>364</v>
      </c>
      <c r="B366" s="52">
        <f>1+(1-捕魚機!$B$5)*B365+捕魚機!$B$5*B364</f>
        <v/>
      </c>
    </row>
    <row r="367">
      <c r="A367" s="5" t="n">
        <v>365</v>
      </c>
      <c r="B367" s="52">
        <f>1+(1-捕魚機!$B$5)*B366+捕魚機!$B$5*B365</f>
        <v/>
      </c>
    </row>
    <row r="368">
      <c r="A368" s="5" t="n">
        <v>366</v>
      </c>
      <c r="B368" s="52">
        <f>1+(1-捕魚機!$B$5)*B367+捕魚機!$B$5*B366</f>
        <v/>
      </c>
    </row>
    <row r="369">
      <c r="A369" s="5" t="n">
        <v>367</v>
      </c>
      <c r="B369" s="52">
        <f>1+(1-捕魚機!$B$5)*B368+捕魚機!$B$5*B367</f>
        <v/>
      </c>
    </row>
    <row r="370">
      <c r="A370" s="5" t="n">
        <v>368</v>
      </c>
      <c r="B370" s="52">
        <f>1+(1-捕魚機!$B$5)*B369+捕魚機!$B$5*B368</f>
        <v/>
      </c>
    </row>
    <row r="371">
      <c r="A371" s="5" t="n">
        <v>369</v>
      </c>
      <c r="B371" s="52">
        <f>1+(1-捕魚機!$B$5)*B370+捕魚機!$B$5*B369</f>
        <v/>
      </c>
    </row>
    <row r="372">
      <c r="A372" s="5" t="n">
        <v>370</v>
      </c>
      <c r="B372" s="52">
        <f>1+(1-捕魚機!$B$5)*B371+捕魚機!$B$5*B370</f>
        <v/>
      </c>
    </row>
    <row r="373">
      <c r="A373" s="5" t="n">
        <v>371</v>
      </c>
      <c r="B373" s="52">
        <f>1+(1-捕魚機!$B$5)*B372+捕魚機!$B$5*B371</f>
        <v/>
      </c>
    </row>
    <row r="374">
      <c r="A374" s="5" t="n">
        <v>372</v>
      </c>
      <c r="B374" s="52">
        <f>1+(1-捕魚機!$B$5)*B373+捕魚機!$B$5*B372</f>
        <v/>
      </c>
    </row>
    <row r="375">
      <c r="A375" s="5" t="n">
        <v>373</v>
      </c>
      <c r="B375" s="52">
        <f>1+(1-捕魚機!$B$5)*B374+捕魚機!$B$5*B373</f>
        <v/>
      </c>
    </row>
    <row r="376">
      <c r="A376" s="5" t="n">
        <v>374</v>
      </c>
      <c r="B376" s="52">
        <f>1+(1-捕魚機!$B$5)*B375+捕魚機!$B$5*B374</f>
        <v/>
      </c>
    </row>
    <row r="377">
      <c r="A377" s="5" t="n">
        <v>375</v>
      </c>
      <c r="B377" s="52">
        <f>1+(1-捕魚機!$B$5)*B376+捕魚機!$B$5*B375</f>
        <v/>
      </c>
    </row>
    <row r="378">
      <c r="A378" s="5" t="n">
        <v>376</v>
      </c>
      <c r="B378" s="52">
        <f>1+(1-捕魚機!$B$5)*B377+捕魚機!$B$5*B376</f>
        <v/>
      </c>
    </row>
    <row r="379">
      <c r="A379" s="5" t="n">
        <v>377</v>
      </c>
      <c r="B379" s="52">
        <f>1+(1-捕魚機!$B$5)*B378+捕魚機!$B$5*B377</f>
        <v/>
      </c>
    </row>
    <row r="380">
      <c r="A380" s="5" t="n">
        <v>378</v>
      </c>
      <c r="B380" s="52">
        <f>1+(1-捕魚機!$B$5)*B379+捕魚機!$B$5*B378</f>
        <v/>
      </c>
    </row>
    <row r="381">
      <c r="A381" s="5" t="n">
        <v>379</v>
      </c>
      <c r="B381" s="52">
        <f>1+(1-捕魚機!$B$5)*B380+捕魚機!$B$5*B379</f>
        <v/>
      </c>
    </row>
    <row r="382">
      <c r="A382" s="5" t="n">
        <v>380</v>
      </c>
      <c r="B382" s="52">
        <f>1+(1-捕魚機!$B$5)*B381+捕魚機!$B$5*B380</f>
        <v/>
      </c>
    </row>
    <row r="383">
      <c r="A383" s="5" t="n">
        <v>381</v>
      </c>
      <c r="B383" s="52">
        <f>1+(1-捕魚機!$B$5)*B382+捕魚機!$B$5*B381</f>
        <v/>
      </c>
    </row>
    <row r="384">
      <c r="A384" s="5" t="n">
        <v>382</v>
      </c>
      <c r="B384" s="52">
        <f>1+(1-捕魚機!$B$5)*B383+捕魚機!$B$5*B382</f>
        <v/>
      </c>
    </row>
    <row r="385">
      <c r="A385" s="5" t="n">
        <v>383</v>
      </c>
      <c r="B385" s="52">
        <f>1+(1-捕魚機!$B$5)*B384+捕魚機!$B$5*B383</f>
        <v/>
      </c>
    </row>
    <row r="386">
      <c r="A386" s="5" t="n">
        <v>384</v>
      </c>
      <c r="B386" s="52">
        <f>1+(1-捕魚機!$B$5)*B385+捕魚機!$B$5*B384</f>
        <v/>
      </c>
    </row>
    <row r="387">
      <c r="A387" s="5" t="n">
        <v>385</v>
      </c>
      <c r="B387" s="52">
        <f>1+(1-捕魚機!$B$5)*B386+捕魚機!$B$5*B385</f>
        <v/>
      </c>
    </row>
    <row r="388">
      <c r="A388" s="5" t="n">
        <v>386</v>
      </c>
      <c r="B388" s="52">
        <f>1+(1-捕魚機!$B$5)*B387+捕魚機!$B$5*B386</f>
        <v/>
      </c>
    </row>
    <row r="389">
      <c r="A389" s="5" t="n">
        <v>387</v>
      </c>
      <c r="B389" s="52">
        <f>1+(1-捕魚機!$B$5)*B388+捕魚機!$B$5*B387</f>
        <v/>
      </c>
    </row>
    <row r="390">
      <c r="A390" s="5" t="n">
        <v>388</v>
      </c>
      <c r="B390" s="52">
        <f>1+(1-捕魚機!$B$5)*B389+捕魚機!$B$5*B388</f>
        <v/>
      </c>
    </row>
    <row r="391">
      <c r="A391" s="5" t="n">
        <v>389</v>
      </c>
      <c r="B391" s="52">
        <f>1+(1-捕魚機!$B$5)*B390+捕魚機!$B$5*B389</f>
        <v/>
      </c>
    </row>
    <row r="392">
      <c r="A392" s="5" t="n">
        <v>390</v>
      </c>
      <c r="B392" s="52">
        <f>1+(1-捕魚機!$B$5)*B391+捕魚機!$B$5*B390</f>
        <v/>
      </c>
    </row>
    <row r="393">
      <c r="A393" s="5" t="n">
        <v>391</v>
      </c>
      <c r="B393" s="52">
        <f>1+(1-捕魚機!$B$5)*B392+捕魚機!$B$5*B391</f>
        <v/>
      </c>
    </row>
    <row r="394">
      <c r="A394" s="5" t="n">
        <v>392</v>
      </c>
      <c r="B394" s="52">
        <f>1+(1-捕魚機!$B$5)*B393+捕魚機!$B$5*B392</f>
        <v/>
      </c>
    </row>
    <row r="395">
      <c r="A395" s="5" t="n">
        <v>393</v>
      </c>
      <c r="B395" s="52">
        <f>1+(1-捕魚機!$B$5)*B394+捕魚機!$B$5*B393</f>
        <v/>
      </c>
    </row>
    <row r="396">
      <c r="A396" s="5" t="n">
        <v>394</v>
      </c>
      <c r="B396" s="52">
        <f>1+(1-捕魚機!$B$5)*B395+捕魚機!$B$5*B394</f>
        <v/>
      </c>
    </row>
    <row r="397">
      <c r="A397" s="5" t="n">
        <v>395</v>
      </c>
      <c r="B397" s="52">
        <f>1+(1-捕魚機!$B$5)*B396+捕魚機!$B$5*B395</f>
        <v/>
      </c>
    </row>
    <row r="398">
      <c r="A398" s="5" t="n">
        <v>396</v>
      </c>
      <c r="B398" s="52">
        <f>1+(1-捕魚機!$B$5)*B397+捕魚機!$B$5*B396</f>
        <v/>
      </c>
    </row>
    <row r="399">
      <c r="A399" s="5" t="n">
        <v>397</v>
      </c>
      <c r="B399" s="52">
        <f>1+(1-捕魚機!$B$5)*B398+捕魚機!$B$5*B397</f>
        <v/>
      </c>
    </row>
    <row r="400">
      <c r="A400" s="5" t="n">
        <v>398</v>
      </c>
      <c r="B400" s="52">
        <f>1+(1-捕魚機!$B$5)*B399+捕魚機!$B$5*B398</f>
        <v/>
      </c>
    </row>
    <row r="401">
      <c r="A401" s="5" t="n">
        <v>399</v>
      </c>
      <c r="B401" s="52">
        <f>1+(1-捕魚機!$B$5)*B400+捕魚機!$B$5*B399</f>
        <v/>
      </c>
    </row>
    <row r="402">
      <c r="A402" s="5" t="n">
        <v>400</v>
      </c>
      <c r="B402" s="52">
        <f>1+(1-捕魚機!$B$5)*B401+捕魚機!$B$5*B400</f>
        <v/>
      </c>
    </row>
    <row r="403">
      <c r="A403" s="5" t="n">
        <v>401</v>
      </c>
      <c r="B403" s="52">
        <f>1+(1-捕魚機!$B$5)*B402+捕魚機!$B$5*B401</f>
        <v/>
      </c>
    </row>
    <row r="404">
      <c r="A404" s="5" t="n">
        <v>402</v>
      </c>
      <c r="B404" s="52">
        <f>1+(1-捕魚機!$B$5)*B403+捕魚機!$B$5*B402</f>
        <v/>
      </c>
    </row>
    <row r="405">
      <c r="A405" s="5" t="n">
        <v>403</v>
      </c>
      <c r="B405" s="52">
        <f>1+(1-捕魚機!$B$5)*B404+捕魚機!$B$5*B403</f>
        <v/>
      </c>
    </row>
    <row r="406">
      <c r="A406" s="5" t="n">
        <v>404</v>
      </c>
      <c r="B406" s="52">
        <f>1+(1-捕魚機!$B$5)*B405+捕魚機!$B$5*B404</f>
        <v/>
      </c>
    </row>
    <row r="407">
      <c r="A407" s="5" t="n">
        <v>405</v>
      </c>
      <c r="B407" s="52">
        <f>1+(1-捕魚機!$B$5)*B406+捕魚機!$B$5*B405</f>
        <v/>
      </c>
    </row>
    <row r="408">
      <c r="A408" s="5" t="n">
        <v>406</v>
      </c>
      <c r="B408" s="52">
        <f>1+(1-捕魚機!$B$5)*B407+捕魚機!$B$5*B406</f>
        <v/>
      </c>
    </row>
    <row r="409">
      <c r="A409" s="5" t="n">
        <v>407</v>
      </c>
      <c r="B409" s="52">
        <f>1+(1-捕魚機!$B$5)*B408+捕魚機!$B$5*B407</f>
        <v/>
      </c>
    </row>
    <row r="410">
      <c r="A410" s="5" t="n">
        <v>408</v>
      </c>
      <c r="B410" s="52">
        <f>1+(1-捕魚機!$B$5)*B409+捕魚機!$B$5*B408</f>
        <v/>
      </c>
    </row>
    <row r="411">
      <c r="A411" s="5" t="n">
        <v>409</v>
      </c>
      <c r="B411" s="52">
        <f>1+(1-捕魚機!$B$5)*B410+捕魚機!$B$5*B409</f>
        <v/>
      </c>
    </row>
    <row r="412">
      <c r="A412" s="5" t="n">
        <v>410</v>
      </c>
      <c r="B412" s="52">
        <f>1+(1-捕魚機!$B$5)*B411+捕魚機!$B$5*B410</f>
        <v/>
      </c>
    </row>
    <row r="413">
      <c r="A413" s="5" t="n">
        <v>411</v>
      </c>
      <c r="B413" s="52">
        <f>1+(1-捕魚機!$B$5)*B412+捕魚機!$B$5*B411</f>
        <v/>
      </c>
    </row>
    <row r="414">
      <c r="A414" s="5" t="n">
        <v>412</v>
      </c>
      <c r="B414" s="52">
        <f>1+(1-捕魚機!$B$5)*B413+捕魚機!$B$5*B412</f>
        <v/>
      </c>
    </row>
    <row r="415">
      <c r="A415" s="5" t="n">
        <v>413</v>
      </c>
      <c r="B415" s="52">
        <f>1+(1-捕魚機!$B$5)*B414+捕魚機!$B$5*B413</f>
        <v/>
      </c>
    </row>
    <row r="416">
      <c r="A416" s="5" t="n">
        <v>414</v>
      </c>
      <c r="B416" s="52">
        <f>1+(1-捕魚機!$B$5)*B415+捕魚機!$B$5*B414</f>
        <v/>
      </c>
    </row>
    <row r="417">
      <c r="A417" s="5" t="n">
        <v>415</v>
      </c>
      <c r="B417" s="52">
        <f>1+(1-捕魚機!$B$5)*B416+捕魚機!$B$5*B415</f>
        <v/>
      </c>
    </row>
    <row r="418">
      <c r="A418" s="5" t="n">
        <v>416</v>
      </c>
      <c r="B418" s="52">
        <f>1+(1-捕魚機!$B$5)*B417+捕魚機!$B$5*B416</f>
        <v/>
      </c>
    </row>
    <row r="419">
      <c r="A419" s="5" t="n">
        <v>417</v>
      </c>
      <c r="B419" s="52">
        <f>1+(1-捕魚機!$B$5)*B418+捕魚機!$B$5*B417</f>
        <v/>
      </c>
    </row>
    <row r="420">
      <c r="A420" s="5" t="n">
        <v>418</v>
      </c>
      <c r="B420" s="52">
        <f>1+(1-捕魚機!$B$5)*B419+捕魚機!$B$5*B418</f>
        <v/>
      </c>
    </row>
    <row r="421">
      <c r="A421" s="5" t="n">
        <v>419</v>
      </c>
      <c r="B421" s="52">
        <f>1+(1-捕魚機!$B$5)*B420+捕魚機!$B$5*B419</f>
        <v/>
      </c>
    </row>
    <row r="422">
      <c r="A422" s="5" t="n">
        <v>420</v>
      </c>
      <c r="B422" s="52">
        <f>1+(1-捕魚機!$B$5)*B421+捕魚機!$B$5*B420</f>
        <v/>
      </c>
    </row>
    <row r="423">
      <c r="A423" s="5" t="n">
        <v>421</v>
      </c>
      <c r="B423" s="52">
        <f>1+(1-捕魚機!$B$5)*B422+捕魚機!$B$5*B421</f>
        <v/>
      </c>
    </row>
    <row r="424">
      <c r="A424" s="5" t="n">
        <v>422</v>
      </c>
      <c r="B424" s="52">
        <f>1+(1-捕魚機!$B$5)*B423+捕魚機!$B$5*B422</f>
        <v/>
      </c>
    </row>
    <row r="425">
      <c r="A425" s="5" t="n">
        <v>423</v>
      </c>
      <c r="B425" s="52">
        <f>1+(1-捕魚機!$B$5)*B424+捕魚機!$B$5*B423</f>
        <v/>
      </c>
    </row>
    <row r="426">
      <c r="A426" s="5" t="n">
        <v>424</v>
      </c>
      <c r="B426" s="52">
        <f>1+(1-捕魚機!$B$5)*B425+捕魚機!$B$5*B424</f>
        <v/>
      </c>
    </row>
    <row r="427">
      <c r="A427" s="5" t="n">
        <v>425</v>
      </c>
      <c r="B427" s="52">
        <f>1+(1-捕魚機!$B$5)*B426+捕魚機!$B$5*B425</f>
        <v/>
      </c>
    </row>
    <row r="428">
      <c r="A428" s="5" t="n">
        <v>426</v>
      </c>
      <c r="B428" s="52">
        <f>1+(1-捕魚機!$B$5)*B427+捕魚機!$B$5*B426</f>
        <v/>
      </c>
    </row>
    <row r="429">
      <c r="A429" s="5" t="n">
        <v>427</v>
      </c>
      <c r="B429" s="52">
        <f>1+(1-捕魚機!$B$5)*B428+捕魚機!$B$5*B427</f>
        <v/>
      </c>
    </row>
    <row r="430">
      <c r="A430" s="5" t="n">
        <v>428</v>
      </c>
      <c r="B430" s="52">
        <f>1+(1-捕魚機!$B$5)*B429+捕魚機!$B$5*B428</f>
        <v/>
      </c>
    </row>
    <row r="431">
      <c r="A431" s="5" t="n">
        <v>429</v>
      </c>
      <c r="B431" s="52">
        <f>1+(1-捕魚機!$B$5)*B430+捕魚機!$B$5*B429</f>
        <v/>
      </c>
    </row>
    <row r="432">
      <c r="A432" s="5" t="n">
        <v>430</v>
      </c>
      <c r="B432" s="52">
        <f>1+(1-捕魚機!$B$5)*B431+捕魚機!$B$5*B430</f>
        <v/>
      </c>
    </row>
    <row r="433">
      <c r="A433" s="5" t="n">
        <v>431</v>
      </c>
      <c r="B433" s="52">
        <f>1+(1-捕魚機!$B$5)*B432+捕魚機!$B$5*B431</f>
        <v/>
      </c>
    </row>
    <row r="434">
      <c r="A434" s="5" t="n">
        <v>432</v>
      </c>
      <c r="B434" s="52">
        <f>1+(1-捕魚機!$B$5)*B433+捕魚機!$B$5*B432</f>
        <v/>
      </c>
    </row>
    <row r="435">
      <c r="A435" s="5" t="n">
        <v>433</v>
      </c>
      <c r="B435" s="52">
        <f>1+(1-捕魚機!$B$5)*B434+捕魚機!$B$5*B433</f>
        <v/>
      </c>
    </row>
    <row r="436">
      <c r="A436" s="5" t="n">
        <v>434</v>
      </c>
      <c r="B436" s="52">
        <f>1+(1-捕魚機!$B$5)*B435+捕魚機!$B$5*B434</f>
        <v/>
      </c>
    </row>
    <row r="437">
      <c r="A437" s="5" t="n">
        <v>435</v>
      </c>
      <c r="B437" s="52">
        <f>1+(1-捕魚機!$B$5)*B436+捕魚機!$B$5*B435</f>
        <v/>
      </c>
    </row>
    <row r="438">
      <c r="A438" s="5" t="n">
        <v>436</v>
      </c>
      <c r="B438" s="52">
        <f>1+(1-捕魚機!$B$5)*B437+捕魚機!$B$5*B436</f>
        <v/>
      </c>
    </row>
    <row r="439">
      <c r="A439" s="5" t="n">
        <v>437</v>
      </c>
      <c r="B439" s="52">
        <f>1+(1-捕魚機!$B$5)*B438+捕魚機!$B$5*B437</f>
        <v/>
      </c>
    </row>
    <row r="440">
      <c r="A440" s="5" t="n">
        <v>438</v>
      </c>
      <c r="B440" s="52">
        <f>1+(1-捕魚機!$B$5)*B439+捕魚機!$B$5*B438</f>
        <v/>
      </c>
    </row>
    <row r="441">
      <c r="A441" s="5" t="n">
        <v>439</v>
      </c>
      <c r="B441" s="52">
        <f>1+(1-捕魚機!$B$5)*B440+捕魚機!$B$5*B439</f>
        <v/>
      </c>
    </row>
    <row r="442">
      <c r="A442" s="5" t="n">
        <v>440</v>
      </c>
      <c r="B442" s="52">
        <f>1+(1-捕魚機!$B$5)*B441+捕魚機!$B$5*B440</f>
        <v/>
      </c>
    </row>
    <row r="443">
      <c r="A443" s="5" t="n">
        <v>441</v>
      </c>
      <c r="B443" s="52">
        <f>1+(1-捕魚機!$B$5)*B442+捕魚機!$B$5*B441</f>
        <v/>
      </c>
    </row>
    <row r="444">
      <c r="A444" s="5" t="n">
        <v>442</v>
      </c>
      <c r="B444" s="52">
        <f>1+(1-捕魚機!$B$5)*B443+捕魚機!$B$5*B442</f>
        <v/>
      </c>
    </row>
    <row r="445">
      <c r="A445" s="5" t="n">
        <v>443</v>
      </c>
      <c r="B445" s="52">
        <f>1+(1-捕魚機!$B$5)*B444+捕魚機!$B$5*B443</f>
        <v/>
      </c>
    </row>
    <row r="446">
      <c r="A446" s="5" t="n">
        <v>444</v>
      </c>
      <c r="B446" s="52">
        <f>1+(1-捕魚機!$B$5)*B445+捕魚機!$B$5*B444</f>
        <v/>
      </c>
    </row>
    <row r="447">
      <c r="A447" s="5" t="n">
        <v>445</v>
      </c>
      <c r="B447" s="52">
        <f>1+(1-捕魚機!$B$5)*B446+捕魚機!$B$5*B445</f>
        <v/>
      </c>
    </row>
    <row r="448">
      <c r="A448" s="5" t="n">
        <v>446</v>
      </c>
      <c r="B448" s="52">
        <f>1+(1-捕魚機!$B$5)*B447+捕魚機!$B$5*B446</f>
        <v/>
      </c>
    </row>
    <row r="449">
      <c r="A449" s="5" t="n">
        <v>447</v>
      </c>
      <c r="B449" s="52">
        <f>1+(1-捕魚機!$B$5)*B448+捕魚機!$B$5*B447</f>
        <v/>
      </c>
    </row>
    <row r="450">
      <c r="A450" s="5" t="n">
        <v>448</v>
      </c>
      <c r="B450" s="52">
        <f>1+(1-捕魚機!$B$5)*B449+捕魚機!$B$5*B448</f>
        <v/>
      </c>
    </row>
    <row r="451">
      <c r="A451" s="5" t="n">
        <v>449</v>
      </c>
      <c r="B451" s="52">
        <f>1+(1-捕魚機!$B$5)*B450+捕魚機!$B$5*B449</f>
        <v/>
      </c>
    </row>
    <row r="452">
      <c r="A452" s="5" t="n">
        <v>450</v>
      </c>
      <c r="B452" s="52">
        <f>1+(1-捕魚機!$B$5)*B451+捕魚機!$B$5*B450</f>
        <v/>
      </c>
    </row>
    <row r="453">
      <c r="A453" s="5" t="n">
        <v>451</v>
      </c>
      <c r="B453" s="52">
        <f>1+(1-捕魚機!$B$5)*B452+捕魚機!$B$5*B451</f>
        <v/>
      </c>
    </row>
    <row r="454">
      <c r="A454" s="5" t="n">
        <v>452</v>
      </c>
      <c r="B454" s="52">
        <f>1+(1-捕魚機!$B$5)*B453+捕魚機!$B$5*B452</f>
        <v/>
      </c>
    </row>
    <row r="455">
      <c r="A455" s="5" t="n">
        <v>453</v>
      </c>
      <c r="B455" s="52">
        <f>1+(1-捕魚機!$B$5)*B454+捕魚機!$B$5*B453</f>
        <v/>
      </c>
    </row>
    <row r="456">
      <c r="A456" s="5" t="n">
        <v>454</v>
      </c>
      <c r="B456" s="52">
        <f>1+(1-捕魚機!$B$5)*B455+捕魚機!$B$5*B454</f>
        <v/>
      </c>
    </row>
    <row r="457">
      <c r="A457" s="5" t="n">
        <v>455</v>
      </c>
      <c r="B457" s="52">
        <f>1+(1-捕魚機!$B$5)*B456+捕魚機!$B$5*B455</f>
        <v/>
      </c>
    </row>
    <row r="458">
      <c r="A458" s="5" t="n">
        <v>456</v>
      </c>
      <c r="B458" s="52">
        <f>1+(1-捕魚機!$B$5)*B457+捕魚機!$B$5*B456</f>
        <v/>
      </c>
    </row>
    <row r="459">
      <c r="A459" s="5" t="n">
        <v>457</v>
      </c>
      <c r="B459" s="52">
        <f>1+(1-捕魚機!$B$5)*B458+捕魚機!$B$5*B457</f>
        <v/>
      </c>
    </row>
    <row r="460">
      <c r="A460" s="5" t="n">
        <v>458</v>
      </c>
      <c r="B460" s="52">
        <f>1+(1-捕魚機!$B$5)*B459+捕魚機!$B$5*B458</f>
        <v/>
      </c>
    </row>
    <row r="461">
      <c r="A461" s="5" t="n">
        <v>459</v>
      </c>
      <c r="B461" s="52">
        <f>1+(1-捕魚機!$B$5)*B460+捕魚機!$B$5*B459</f>
        <v/>
      </c>
    </row>
    <row r="462">
      <c r="A462" s="5" t="n">
        <v>460</v>
      </c>
      <c r="B462" s="52">
        <f>1+(1-捕魚機!$B$5)*B461+捕魚機!$B$5*B460</f>
        <v/>
      </c>
    </row>
    <row r="463">
      <c r="A463" s="5" t="n">
        <v>461</v>
      </c>
      <c r="B463" s="52">
        <f>1+(1-捕魚機!$B$5)*B462+捕魚機!$B$5*B461</f>
        <v/>
      </c>
    </row>
    <row r="464">
      <c r="A464" s="5" t="n">
        <v>462</v>
      </c>
      <c r="B464" s="52">
        <f>1+(1-捕魚機!$B$5)*B463+捕魚機!$B$5*B462</f>
        <v/>
      </c>
    </row>
    <row r="465">
      <c r="A465" s="5" t="n">
        <v>463</v>
      </c>
      <c r="B465" s="52">
        <f>1+(1-捕魚機!$B$5)*B464+捕魚機!$B$5*B463</f>
        <v/>
      </c>
    </row>
    <row r="466">
      <c r="A466" s="5" t="n">
        <v>464</v>
      </c>
      <c r="B466" s="52">
        <f>1+(1-捕魚機!$B$5)*B465+捕魚機!$B$5*B464</f>
        <v/>
      </c>
    </row>
    <row r="467">
      <c r="A467" s="5" t="n">
        <v>465</v>
      </c>
      <c r="B467" s="52">
        <f>1+(1-捕魚機!$B$5)*B466+捕魚機!$B$5*B465</f>
        <v/>
      </c>
    </row>
    <row r="468">
      <c r="A468" s="5" t="n">
        <v>466</v>
      </c>
      <c r="B468" s="52">
        <f>1+(1-捕魚機!$B$5)*B467+捕魚機!$B$5*B466</f>
        <v/>
      </c>
    </row>
    <row r="469">
      <c r="A469" s="5" t="n">
        <v>467</v>
      </c>
      <c r="B469" s="52">
        <f>1+(1-捕魚機!$B$5)*B468+捕魚機!$B$5*B467</f>
        <v/>
      </c>
    </row>
    <row r="470">
      <c r="A470" s="5" t="n">
        <v>468</v>
      </c>
      <c r="B470" s="52">
        <f>1+(1-捕魚機!$B$5)*B469+捕魚機!$B$5*B468</f>
        <v/>
      </c>
    </row>
    <row r="471">
      <c r="A471" s="5" t="n">
        <v>469</v>
      </c>
      <c r="B471" s="52">
        <f>1+(1-捕魚機!$B$5)*B470+捕魚機!$B$5*B469</f>
        <v/>
      </c>
    </row>
    <row r="472">
      <c r="A472" s="5" t="n">
        <v>470</v>
      </c>
      <c r="B472" s="52">
        <f>1+(1-捕魚機!$B$5)*B471+捕魚機!$B$5*B470</f>
        <v/>
      </c>
    </row>
    <row r="473">
      <c r="A473" s="5" t="n">
        <v>471</v>
      </c>
      <c r="B473" s="52">
        <f>1+(1-捕魚機!$B$5)*B472+捕魚機!$B$5*B471</f>
        <v/>
      </c>
    </row>
    <row r="474">
      <c r="A474" s="5" t="n">
        <v>472</v>
      </c>
      <c r="B474" s="52">
        <f>1+(1-捕魚機!$B$5)*B473+捕魚機!$B$5*B472</f>
        <v/>
      </c>
    </row>
    <row r="475">
      <c r="A475" s="5" t="n">
        <v>473</v>
      </c>
      <c r="B475" s="52">
        <f>1+(1-捕魚機!$B$5)*B474+捕魚機!$B$5*B473</f>
        <v/>
      </c>
    </row>
    <row r="476">
      <c r="A476" s="5" t="n">
        <v>474</v>
      </c>
      <c r="B476" s="52">
        <f>1+(1-捕魚機!$B$5)*B475+捕魚機!$B$5*B474</f>
        <v/>
      </c>
    </row>
    <row r="477">
      <c r="A477" s="5" t="n">
        <v>475</v>
      </c>
      <c r="B477" s="52">
        <f>1+(1-捕魚機!$B$5)*B476+捕魚機!$B$5*B475</f>
        <v/>
      </c>
    </row>
    <row r="478">
      <c r="A478" s="5" t="n">
        <v>476</v>
      </c>
      <c r="B478" s="52">
        <f>1+(1-捕魚機!$B$5)*B477+捕魚機!$B$5*B476</f>
        <v/>
      </c>
    </row>
    <row r="479">
      <c r="A479" s="5" t="n">
        <v>477</v>
      </c>
      <c r="B479" s="52">
        <f>1+(1-捕魚機!$B$5)*B478+捕魚機!$B$5*B477</f>
        <v/>
      </c>
    </row>
    <row r="480">
      <c r="A480" s="5" t="n">
        <v>478</v>
      </c>
      <c r="B480" s="52">
        <f>1+(1-捕魚機!$B$5)*B479+捕魚機!$B$5*B478</f>
        <v/>
      </c>
    </row>
    <row r="481">
      <c r="A481" s="5" t="n">
        <v>479</v>
      </c>
      <c r="B481" s="52">
        <f>1+(1-捕魚機!$B$5)*B480+捕魚機!$B$5*B479</f>
        <v/>
      </c>
    </row>
    <row r="482">
      <c r="A482" s="5" t="n">
        <v>480</v>
      </c>
      <c r="B482" s="52">
        <f>1+(1-捕魚機!$B$5)*B481+捕魚機!$B$5*B480</f>
        <v/>
      </c>
    </row>
    <row r="483">
      <c r="A483" s="5" t="n">
        <v>481</v>
      </c>
      <c r="B483" s="52">
        <f>1+(1-捕魚機!$B$5)*B482+捕魚機!$B$5*B481</f>
        <v/>
      </c>
    </row>
    <row r="484">
      <c r="A484" s="5" t="n">
        <v>482</v>
      </c>
      <c r="B484" s="52">
        <f>1+(1-捕魚機!$B$5)*B483+捕魚機!$B$5*B482</f>
        <v/>
      </c>
    </row>
    <row r="485">
      <c r="A485" s="5" t="n">
        <v>483</v>
      </c>
      <c r="B485" s="52">
        <f>1+(1-捕魚機!$B$5)*B484+捕魚機!$B$5*B483</f>
        <v/>
      </c>
    </row>
    <row r="486">
      <c r="A486" s="5" t="n">
        <v>484</v>
      </c>
      <c r="B486" s="52">
        <f>1+(1-捕魚機!$B$5)*B485+捕魚機!$B$5*B484</f>
        <v/>
      </c>
    </row>
    <row r="487">
      <c r="A487" s="5" t="n">
        <v>485</v>
      </c>
      <c r="B487" s="52">
        <f>1+(1-捕魚機!$B$5)*B486+捕魚機!$B$5*B485</f>
        <v/>
      </c>
    </row>
    <row r="488">
      <c r="A488" s="5" t="n">
        <v>486</v>
      </c>
      <c r="B488" s="52">
        <f>1+(1-捕魚機!$B$5)*B487+捕魚機!$B$5*B486</f>
        <v/>
      </c>
    </row>
    <row r="489">
      <c r="A489" s="5" t="n">
        <v>487</v>
      </c>
      <c r="B489" s="52">
        <f>1+(1-捕魚機!$B$5)*B488+捕魚機!$B$5*B487</f>
        <v/>
      </c>
    </row>
    <row r="490">
      <c r="A490" s="5" t="n">
        <v>488</v>
      </c>
      <c r="B490" s="52">
        <f>1+(1-捕魚機!$B$5)*B489+捕魚機!$B$5*B488</f>
        <v/>
      </c>
    </row>
    <row r="491">
      <c r="A491" s="5" t="n">
        <v>489</v>
      </c>
      <c r="B491" s="52">
        <f>1+(1-捕魚機!$B$5)*B490+捕魚機!$B$5*B489</f>
        <v/>
      </c>
    </row>
    <row r="492">
      <c r="A492" s="5" t="n">
        <v>490</v>
      </c>
      <c r="B492" s="52">
        <f>1+(1-捕魚機!$B$5)*B491+捕魚機!$B$5*B490</f>
        <v/>
      </c>
    </row>
    <row r="493">
      <c r="A493" s="5" t="n">
        <v>491</v>
      </c>
      <c r="B493" s="52">
        <f>1+(1-捕魚機!$B$5)*B492+捕魚機!$B$5*B491</f>
        <v/>
      </c>
    </row>
    <row r="494">
      <c r="A494" s="5" t="n">
        <v>492</v>
      </c>
      <c r="B494" s="52">
        <f>1+(1-捕魚機!$B$5)*B493+捕魚機!$B$5*B492</f>
        <v/>
      </c>
    </row>
    <row r="495">
      <c r="A495" s="5" t="n">
        <v>493</v>
      </c>
      <c r="B495" s="52">
        <f>1+(1-捕魚機!$B$5)*B494+捕魚機!$B$5*B493</f>
        <v/>
      </c>
    </row>
    <row r="496">
      <c r="A496" s="5" t="n">
        <v>494</v>
      </c>
      <c r="B496" s="52">
        <f>1+(1-捕魚機!$B$5)*B495+捕魚機!$B$5*B494</f>
        <v/>
      </c>
    </row>
    <row r="497">
      <c r="A497" s="5" t="n">
        <v>495</v>
      </c>
      <c r="B497" s="52">
        <f>1+(1-捕魚機!$B$5)*B496+捕魚機!$B$5*B495</f>
        <v/>
      </c>
    </row>
    <row r="498">
      <c r="A498" s="5" t="n">
        <v>496</v>
      </c>
      <c r="B498" s="52">
        <f>1+(1-捕魚機!$B$5)*B497+捕魚機!$B$5*B496</f>
        <v/>
      </c>
    </row>
    <row r="499">
      <c r="A499" s="5" t="n">
        <v>497</v>
      </c>
      <c r="B499" s="52">
        <f>1+(1-捕魚機!$B$5)*B498+捕魚機!$B$5*B497</f>
        <v/>
      </c>
    </row>
    <row r="500">
      <c r="A500" s="5" t="n">
        <v>498</v>
      </c>
      <c r="B500" s="52">
        <f>1+(1-捕魚機!$B$5)*B499+捕魚機!$B$5*B498</f>
        <v/>
      </c>
    </row>
    <row r="501">
      <c r="A501" s="5" t="n">
        <v>499</v>
      </c>
      <c r="B501" s="52">
        <f>1+(1-捕魚機!$B$5)*B500+捕魚機!$B$5*B499</f>
        <v/>
      </c>
    </row>
    <row r="502">
      <c r="A502" s="5" t="n">
        <v>500</v>
      </c>
      <c r="B502" s="52">
        <f>1+(1-捕魚機!$B$5)*B501+捕魚機!$B$5*B500</f>
        <v/>
      </c>
    </row>
    <row r="503">
      <c r="A503" s="5" t="n">
        <v>501</v>
      </c>
      <c r="B503" s="52">
        <f>1+(1-捕魚機!$B$5)*B502+捕魚機!$B$5*B501</f>
        <v/>
      </c>
    </row>
    <row r="504">
      <c r="A504" s="5" t="n">
        <v>502</v>
      </c>
      <c r="B504" s="52">
        <f>1+(1-捕魚機!$B$5)*B503+捕魚機!$B$5*B502</f>
        <v/>
      </c>
    </row>
    <row r="505">
      <c r="A505" s="5" t="n">
        <v>503</v>
      </c>
      <c r="B505" s="52">
        <f>1+(1-捕魚機!$B$5)*B504+捕魚機!$B$5*B503</f>
        <v/>
      </c>
    </row>
    <row r="506">
      <c r="A506" s="5" t="n">
        <v>504</v>
      </c>
      <c r="B506" s="52">
        <f>1+(1-捕魚機!$B$5)*B505+捕魚機!$B$5*B504</f>
        <v/>
      </c>
    </row>
    <row r="507">
      <c r="A507" s="5" t="n">
        <v>505</v>
      </c>
      <c r="B507" s="52">
        <f>1+(1-捕魚機!$B$5)*B506+捕魚機!$B$5*B505</f>
        <v/>
      </c>
    </row>
    <row r="508">
      <c r="A508" s="5" t="n">
        <v>506</v>
      </c>
      <c r="B508" s="52">
        <f>1+(1-捕魚機!$B$5)*B507+捕魚機!$B$5*B506</f>
        <v/>
      </c>
    </row>
    <row r="509">
      <c r="A509" s="5" t="n">
        <v>507</v>
      </c>
      <c r="B509" s="52">
        <f>1+(1-捕魚機!$B$5)*B508+捕魚機!$B$5*B507</f>
        <v/>
      </c>
    </row>
    <row r="510">
      <c r="A510" s="5" t="n">
        <v>508</v>
      </c>
      <c r="B510" s="52">
        <f>1+(1-捕魚機!$B$5)*B509+捕魚機!$B$5*B508</f>
        <v/>
      </c>
    </row>
    <row r="511">
      <c r="A511" s="5" t="n">
        <v>509</v>
      </c>
      <c r="B511" s="52">
        <f>1+(1-捕魚機!$B$5)*B510+捕魚機!$B$5*B509</f>
        <v/>
      </c>
    </row>
    <row r="512">
      <c r="A512" s="5" t="n">
        <v>510</v>
      </c>
      <c r="B512" s="52">
        <f>1+(1-捕魚機!$B$5)*B511+捕魚機!$B$5*B510</f>
        <v/>
      </c>
    </row>
    <row r="513">
      <c r="A513" s="5" t="n">
        <v>511</v>
      </c>
      <c r="B513" s="52">
        <f>1+(1-捕魚機!$B$5)*B512+捕魚機!$B$5*B511</f>
        <v/>
      </c>
    </row>
    <row r="514">
      <c r="A514" s="5" t="n">
        <v>512</v>
      </c>
      <c r="B514" s="52">
        <f>1+(1-捕魚機!$B$5)*B513+捕魚機!$B$5*B512</f>
        <v/>
      </c>
    </row>
    <row r="515">
      <c r="A515" s="5" t="n">
        <v>513</v>
      </c>
      <c r="B515" s="52">
        <f>1+(1-捕魚機!$B$5)*B514+捕魚機!$B$5*B513</f>
        <v/>
      </c>
    </row>
    <row r="516">
      <c r="A516" s="5" t="n">
        <v>514</v>
      </c>
      <c r="B516" s="52">
        <f>1+(1-捕魚機!$B$5)*B515+捕魚機!$B$5*B514</f>
        <v/>
      </c>
    </row>
    <row r="517">
      <c r="A517" s="5" t="n">
        <v>515</v>
      </c>
      <c r="B517" s="52">
        <f>1+(1-捕魚機!$B$5)*B516+捕魚機!$B$5*B515</f>
        <v/>
      </c>
    </row>
    <row r="518">
      <c r="A518" s="5" t="n">
        <v>516</v>
      </c>
      <c r="B518" s="52">
        <f>1+(1-捕魚機!$B$5)*B517+捕魚機!$B$5*B516</f>
        <v/>
      </c>
    </row>
    <row r="519">
      <c r="A519" s="5" t="n">
        <v>517</v>
      </c>
      <c r="B519" s="52">
        <f>1+(1-捕魚機!$B$5)*B518+捕魚機!$B$5*B517</f>
        <v/>
      </c>
    </row>
    <row r="520">
      <c r="A520" s="5" t="n">
        <v>518</v>
      </c>
      <c r="B520" s="52">
        <f>1+(1-捕魚機!$B$5)*B519+捕魚機!$B$5*B518</f>
        <v/>
      </c>
    </row>
    <row r="521">
      <c r="A521" s="5" t="n">
        <v>519</v>
      </c>
      <c r="B521" s="52">
        <f>1+(1-捕魚機!$B$5)*B520+捕魚機!$B$5*B519</f>
        <v/>
      </c>
    </row>
    <row r="522">
      <c r="A522" s="5" t="n">
        <v>520</v>
      </c>
      <c r="B522" s="52">
        <f>1+(1-捕魚機!$B$5)*B521+捕魚機!$B$5*B520</f>
        <v/>
      </c>
    </row>
    <row r="523">
      <c r="A523" s="5" t="n">
        <v>521</v>
      </c>
      <c r="B523" s="52">
        <f>1+(1-捕魚機!$B$5)*B522+捕魚機!$B$5*B521</f>
        <v/>
      </c>
    </row>
    <row r="524">
      <c r="A524" s="5" t="n">
        <v>522</v>
      </c>
      <c r="B524" s="52">
        <f>1+(1-捕魚機!$B$5)*B523+捕魚機!$B$5*B522</f>
        <v/>
      </c>
    </row>
    <row r="525">
      <c r="A525" s="5" t="n">
        <v>523</v>
      </c>
      <c r="B525" s="52">
        <f>1+(1-捕魚機!$B$5)*B524+捕魚機!$B$5*B523</f>
        <v/>
      </c>
    </row>
    <row r="526">
      <c r="A526" s="5" t="n">
        <v>524</v>
      </c>
      <c r="B526" s="52">
        <f>1+(1-捕魚機!$B$5)*B525+捕魚機!$B$5*B524</f>
        <v/>
      </c>
    </row>
    <row r="527">
      <c r="A527" s="5" t="n">
        <v>525</v>
      </c>
      <c r="B527" s="52">
        <f>1+(1-捕魚機!$B$5)*B526+捕魚機!$B$5*B525</f>
        <v/>
      </c>
    </row>
    <row r="528">
      <c r="A528" s="5" t="n">
        <v>526</v>
      </c>
      <c r="B528" s="52">
        <f>1+(1-捕魚機!$B$5)*B527+捕魚機!$B$5*B526</f>
        <v/>
      </c>
    </row>
    <row r="529">
      <c r="A529" s="5" t="n">
        <v>527</v>
      </c>
      <c r="B529" s="52">
        <f>1+(1-捕魚機!$B$5)*B528+捕魚機!$B$5*B527</f>
        <v/>
      </c>
    </row>
    <row r="530">
      <c r="A530" s="5" t="n">
        <v>528</v>
      </c>
      <c r="B530" s="52">
        <f>1+(1-捕魚機!$B$5)*B529+捕魚機!$B$5*B528</f>
        <v/>
      </c>
    </row>
    <row r="531">
      <c r="A531" s="5" t="n">
        <v>529</v>
      </c>
      <c r="B531" s="52">
        <f>1+(1-捕魚機!$B$5)*B530+捕魚機!$B$5*B529</f>
        <v/>
      </c>
    </row>
    <row r="532">
      <c r="A532" s="5" t="n">
        <v>530</v>
      </c>
      <c r="B532" s="52">
        <f>1+(1-捕魚機!$B$5)*B531+捕魚機!$B$5*B530</f>
        <v/>
      </c>
    </row>
    <row r="533">
      <c r="A533" s="5" t="n">
        <v>531</v>
      </c>
      <c r="B533" s="52">
        <f>1+(1-捕魚機!$B$5)*B532+捕魚機!$B$5*B531</f>
        <v/>
      </c>
    </row>
    <row r="534">
      <c r="A534" s="5" t="n">
        <v>532</v>
      </c>
      <c r="B534" s="52">
        <f>1+(1-捕魚機!$B$5)*B533+捕魚機!$B$5*B532</f>
        <v/>
      </c>
    </row>
    <row r="535">
      <c r="A535" s="5" t="n">
        <v>533</v>
      </c>
      <c r="B535" s="52">
        <f>1+(1-捕魚機!$B$5)*B534+捕魚機!$B$5*B533</f>
        <v/>
      </c>
    </row>
    <row r="536">
      <c r="A536" s="5" t="n">
        <v>534</v>
      </c>
      <c r="B536" s="52">
        <f>1+(1-捕魚機!$B$5)*B535+捕魚機!$B$5*B534</f>
        <v/>
      </c>
    </row>
    <row r="537">
      <c r="A537" s="5" t="n">
        <v>535</v>
      </c>
      <c r="B537" s="52">
        <f>1+(1-捕魚機!$B$5)*B536+捕魚機!$B$5*B535</f>
        <v/>
      </c>
    </row>
    <row r="538">
      <c r="A538" s="5" t="n">
        <v>536</v>
      </c>
      <c r="B538" s="52">
        <f>1+(1-捕魚機!$B$5)*B537+捕魚機!$B$5*B536</f>
        <v/>
      </c>
    </row>
    <row r="539">
      <c r="A539" s="5" t="n">
        <v>537</v>
      </c>
      <c r="B539" s="52">
        <f>1+(1-捕魚機!$B$5)*B538+捕魚機!$B$5*B537</f>
        <v/>
      </c>
    </row>
    <row r="540">
      <c r="A540" s="5" t="n">
        <v>538</v>
      </c>
      <c r="B540" s="52">
        <f>1+(1-捕魚機!$B$5)*B539+捕魚機!$B$5*B538</f>
        <v/>
      </c>
    </row>
    <row r="541">
      <c r="A541" s="5" t="n">
        <v>539</v>
      </c>
      <c r="B541" s="52">
        <f>1+(1-捕魚機!$B$5)*B540+捕魚機!$B$5*B539</f>
        <v/>
      </c>
    </row>
    <row r="542">
      <c r="A542" s="5" t="n">
        <v>540</v>
      </c>
      <c r="B542" s="52">
        <f>1+(1-捕魚機!$B$5)*B541+捕魚機!$B$5*B540</f>
        <v/>
      </c>
    </row>
    <row r="543">
      <c r="A543" s="5" t="n">
        <v>541</v>
      </c>
      <c r="B543" s="52">
        <f>1+(1-捕魚機!$B$5)*B542+捕魚機!$B$5*B541</f>
        <v/>
      </c>
    </row>
    <row r="544">
      <c r="A544" s="5" t="n">
        <v>542</v>
      </c>
      <c r="B544" s="52">
        <f>1+(1-捕魚機!$B$5)*B543+捕魚機!$B$5*B542</f>
        <v/>
      </c>
    </row>
    <row r="545">
      <c r="A545" s="5" t="n">
        <v>543</v>
      </c>
      <c r="B545" s="52">
        <f>1+(1-捕魚機!$B$5)*B544+捕魚機!$B$5*B543</f>
        <v/>
      </c>
    </row>
    <row r="546">
      <c r="A546" s="5" t="n">
        <v>544</v>
      </c>
      <c r="B546" s="52">
        <f>1+(1-捕魚機!$B$5)*B545+捕魚機!$B$5*B544</f>
        <v/>
      </c>
    </row>
    <row r="547">
      <c r="A547" s="5" t="n">
        <v>545</v>
      </c>
      <c r="B547" s="52">
        <f>1+(1-捕魚機!$B$5)*B546+捕魚機!$B$5*B545</f>
        <v/>
      </c>
    </row>
    <row r="548">
      <c r="A548" s="5" t="n">
        <v>546</v>
      </c>
      <c r="B548" s="52">
        <f>1+(1-捕魚機!$B$5)*B547+捕魚機!$B$5*B546</f>
        <v/>
      </c>
    </row>
    <row r="549">
      <c r="A549" s="5" t="n">
        <v>547</v>
      </c>
      <c r="B549" s="52">
        <f>1+(1-捕魚機!$B$5)*B548+捕魚機!$B$5*B547</f>
        <v/>
      </c>
    </row>
    <row r="550">
      <c r="A550" s="5" t="n">
        <v>548</v>
      </c>
      <c r="B550" s="52">
        <f>1+(1-捕魚機!$B$5)*B549+捕魚機!$B$5*B548</f>
        <v/>
      </c>
    </row>
    <row r="551">
      <c r="A551" s="5" t="n">
        <v>549</v>
      </c>
      <c r="B551" s="52">
        <f>1+(1-捕魚機!$B$5)*B550+捕魚機!$B$5*B549</f>
        <v/>
      </c>
    </row>
    <row r="552">
      <c r="A552" s="5" t="n">
        <v>550</v>
      </c>
      <c r="B552" s="52">
        <f>1+(1-捕魚機!$B$5)*B551+捕魚機!$B$5*B550</f>
        <v/>
      </c>
    </row>
    <row r="553">
      <c r="A553" s="5" t="n">
        <v>551</v>
      </c>
      <c r="B553" s="52">
        <f>1+(1-捕魚機!$B$5)*B552+捕魚機!$B$5*B551</f>
        <v/>
      </c>
    </row>
    <row r="554">
      <c r="A554" s="5" t="n">
        <v>552</v>
      </c>
      <c r="B554" s="52">
        <f>1+(1-捕魚機!$B$5)*B553+捕魚機!$B$5*B552</f>
        <v/>
      </c>
    </row>
    <row r="555">
      <c r="A555" s="5" t="n">
        <v>553</v>
      </c>
      <c r="B555" s="52">
        <f>1+(1-捕魚機!$B$5)*B554+捕魚機!$B$5*B553</f>
        <v/>
      </c>
    </row>
    <row r="556">
      <c r="A556" s="5" t="n">
        <v>554</v>
      </c>
      <c r="B556" s="52">
        <f>1+(1-捕魚機!$B$5)*B555+捕魚機!$B$5*B554</f>
        <v/>
      </c>
    </row>
    <row r="557">
      <c r="A557" s="5" t="n">
        <v>555</v>
      </c>
      <c r="B557" s="52">
        <f>1+(1-捕魚機!$B$5)*B556+捕魚機!$B$5*B555</f>
        <v/>
      </c>
    </row>
    <row r="558">
      <c r="A558" s="5" t="n">
        <v>556</v>
      </c>
      <c r="B558" s="52">
        <f>1+(1-捕魚機!$B$5)*B557+捕魚機!$B$5*B556</f>
        <v/>
      </c>
    </row>
    <row r="559">
      <c r="A559" s="5" t="n">
        <v>557</v>
      </c>
      <c r="B559" s="52">
        <f>1+(1-捕魚機!$B$5)*B558+捕魚機!$B$5*B557</f>
        <v/>
      </c>
    </row>
    <row r="560">
      <c r="A560" s="5" t="n">
        <v>558</v>
      </c>
      <c r="B560" s="52">
        <f>1+(1-捕魚機!$B$5)*B559+捕魚機!$B$5*B558</f>
        <v/>
      </c>
    </row>
    <row r="561">
      <c r="A561" s="5" t="n">
        <v>559</v>
      </c>
      <c r="B561" s="52">
        <f>1+(1-捕魚機!$B$5)*B560+捕魚機!$B$5*B559</f>
        <v/>
      </c>
    </row>
    <row r="562">
      <c r="A562" s="5" t="n">
        <v>560</v>
      </c>
      <c r="B562" s="52">
        <f>1+(1-捕魚機!$B$5)*B561+捕魚機!$B$5*B560</f>
        <v/>
      </c>
    </row>
    <row r="563">
      <c r="A563" s="5" t="n">
        <v>561</v>
      </c>
      <c r="B563" s="52">
        <f>1+(1-捕魚機!$B$5)*B562+捕魚機!$B$5*B561</f>
        <v/>
      </c>
    </row>
    <row r="564">
      <c r="A564" s="5" t="n">
        <v>562</v>
      </c>
      <c r="B564" s="52">
        <f>1+(1-捕魚機!$B$5)*B563+捕魚機!$B$5*B562</f>
        <v/>
      </c>
    </row>
    <row r="565">
      <c r="A565" s="5" t="n">
        <v>563</v>
      </c>
      <c r="B565" s="52">
        <f>1+(1-捕魚機!$B$5)*B564+捕魚機!$B$5*B563</f>
        <v/>
      </c>
    </row>
    <row r="566">
      <c r="A566" s="5" t="n">
        <v>564</v>
      </c>
      <c r="B566" s="52">
        <f>1+(1-捕魚機!$B$5)*B565+捕魚機!$B$5*B564</f>
        <v/>
      </c>
    </row>
    <row r="567">
      <c r="A567" s="5" t="n">
        <v>565</v>
      </c>
      <c r="B567" s="52">
        <f>1+(1-捕魚機!$B$5)*B566+捕魚機!$B$5*B565</f>
        <v/>
      </c>
    </row>
    <row r="568">
      <c r="A568" s="5" t="n">
        <v>566</v>
      </c>
      <c r="B568" s="52">
        <f>1+(1-捕魚機!$B$5)*B567+捕魚機!$B$5*B566</f>
        <v/>
      </c>
    </row>
    <row r="569">
      <c r="A569" s="5" t="n">
        <v>567</v>
      </c>
      <c r="B569" s="52">
        <f>1+(1-捕魚機!$B$5)*B568+捕魚機!$B$5*B567</f>
        <v/>
      </c>
    </row>
    <row r="570">
      <c r="A570" s="5" t="n">
        <v>568</v>
      </c>
      <c r="B570" s="52">
        <f>1+(1-捕魚機!$B$5)*B569+捕魚機!$B$5*B568</f>
        <v/>
      </c>
    </row>
    <row r="571">
      <c r="A571" s="5" t="n">
        <v>569</v>
      </c>
      <c r="B571" s="52">
        <f>1+(1-捕魚機!$B$5)*B570+捕魚機!$B$5*B569</f>
        <v/>
      </c>
    </row>
    <row r="572">
      <c r="A572" s="5" t="n">
        <v>570</v>
      </c>
      <c r="B572" s="52">
        <f>1+(1-捕魚機!$B$5)*B571+捕魚機!$B$5*B570</f>
        <v/>
      </c>
    </row>
    <row r="573">
      <c r="A573" s="5" t="n">
        <v>571</v>
      </c>
      <c r="B573" s="52">
        <f>1+(1-捕魚機!$B$5)*B572+捕魚機!$B$5*B571</f>
        <v/>
      </c>
    </row>
    <row r="574">
      <c r="A574" s="5" t="n">
        <v>572</v>
      </c>
      <c r="B574" s="52">
        <f>1+(1-捕魚機!$B$5)*B573+捕魚機!$B$5*B572</f>
        <v/>
      </c>
    </row>
    <row r="575">
      <c r="A575" s="5" t="n">
        <v>573</v>
      </c>
      <c r="B575" s="52">
        <f>1+(1-捕魚機!$B$5)*B574+捕魚機!$B$5*B573</f>
        <v/>
      </c>
    </row>
    <row r="576">
      <c r="A576" s="5" t="n">
        <v>574</v>
      </c>
      <c r="B576" s="52">
        <f>1+(1-捕魚機!$B$5)*B575+捕魚機!$B$5*B574</f>
        <v/>
      </c>
    </row>
    <row r="577">
      <c r="A577" s="5" t="n">
        <v>575</v>
      </c>
      <c r="B577" s="52">
        <f>1+(1-捕魚機!$B$5)*B576+捕魚機!$B$5*B575</f>
        <v/>
      </c>
    </row>
    <row r="578">
      <c r="A578" s="5" t="n">
        <v>576</v>
      </c>
      <c r="B578" s="52">
        <f>1+(1-捕魚機!$B$5)*B577+捕魚機!$B$5*B576</f>
        <v/>
      </c>
    </row>
    <row r="579">
      <c r="A579" s="5" t="n">
        <v>577</v>
      </c>
      <c r="B579" s="52">
        <f>1+(1-捕魚機!$B$5)*B578+捕魚機!$B$5*B577</f>
        <v/>
      </c>
    </row>
    <row r="580">
      <c r="A580" s="5" t="n">
        <v>578</v>
      </c>
      <c r="B580" s="52">
        <f>1+(1-捕魚機!$B$5)*B579+捕魚機!$B$5*B578</f>
        <v/>
      </c>
    </row>
    <row r="581">
      <c r="A581" s="5" t="n">
        <v>579</v>
      </c>
      <c r="B581" s="52">
        <f>1+(1-捕魚機!$B$5)*B580+捕魚機!$B$5*B579</f>
        <v/>
      </c>
    </row>
    <row r="582">
      <c r="A582" s="5" t="n">
        <v>580</v>
      </c>
      <c r="B582" s="52">
        <f>1+(1-捕魚機!$B$5)*B581+捕魚機!$B$5*B580</f>
        <v/>
      </c>
    </row>
    <row r="583">
      <c r="A583" s="5" t="n">
        <v>581</v>
      </c>
      <c r="B583" s="52">
        <f>1+(1-捕魚機!$B$5)*B582+捕魚機!$B$5*B581</f>
        <v/>
      </c>
    </row>
    <row r="584">
      <c r="A584" s="5" t="n">
        <v>582</v>
      </c>
      <c r="B584" s="52">
        <f>1+(1-捕魚機!$B$5)*B583+捕魚機!$B$5*B582</f>
        <v/>
      </c>
    </row>
    <row r="585">
      <c r="A585" s="5" t="n">
        <v>583</v>
      </c>
      <c r="B585" s="52">
        <f>1+(1-捕魚機!$B$5)*B584+捕魚機!$B$5*B583</f>
        <v/>
      </c>
    </row>
    <row r="586">
      <c r="A586" s="5" t="n">
        <v>584</v>
      </c>
      <c r="B586" s="52">
        <f>1+(1-捕魚機!$B$5)*B585+捕魚機!$B$5*B584</f>
        <v/>
      </c>
    </row>
    <row r="587">
      <c r="A587" s="5" t="n">
        <v>585</v>
      </c>
      <c r="B587" s="52">
        <f>1+(1-捕魚機!$B$5)*B586+捕魚機!$B$5*B585</f>
        <v/>
      </c>
    </row>
    <row r="588">
      <c r="A588" s="5" t="n">
        <v>586</v>
      </c>
      <c r="B588" s="52">
        <f>1+(1-捕魚機!$B$5)*B587+捕魚機!$B$5*B586</f>
        <v/>
      </c>
    </row>
    <row r="589">
      <c r="A589" s="5" t="n">
        <v>587</v>
      </c>
      <c r="B589" s="52">
        <f>1+(1-捕魚機!$B$5)*B588+捕魚機!$B$5*B587</f>
        <v/>
      </c>
    </row>
    <row r="590">
      <c r="A590" s="5" t="n">
        <v>588</v>
      </c>
      <c r="B590" s="52">
        <f>1+(1-捕魚機!$B$5)*B589+捕魚機!$B$5*B588</f>
        <v/>
      </c>
    </row>
    <row r="591">
      <c r="A591" s="5" t="n">
        <v>589</v>
      </c>
      <c r="B591" s="52">
        <f>1+(1-捕魚機!$B$5)*B590+捕魚機!$B$5*B589</f>
        <v/>
      </c>
    </row>
    <row r="592">
      <c r="A592" s="5" t="n">
        <v>590</v>
      </c>
      <c r="B592" s="52">
        <f>1+(1-捕魚機!$B$5)*B591+捕魚機!$B$5*B590</f>
        <v/>
      </c>
    </row>
    <row r="593">
      <c r="A593" s="5" t="n">
        <v>591</v>
      </c>
      <c r="B593" s="52">
        <f>1+(1-捕魚機!$B$5)*B592+捕魚機!$B$5*B591</f>
        <v/>
      </c>
    </row>
    <row r="594">
      <c r="A594" s="5" t="n">
        <v>592</v>
      </c>
      <c r="B594" s="52">
        <f>1+(1-捕魚機!$B$5)*B593+捕魚機!$B$5*B592</f>
        <v/>
      </c>
    </row>
    <row r="595">
      <c r="A595" s="5" t="n">
        <v>593</v>
      </c>
      <c r="B595" s="52">
        <f>1+(1-捕魚機!$B$5)*B594+捕魚機!$B$5*B593</f>
        <v/>
      </c>
    </row>
    <row r="596">
      <c r="A596" s="5" t="n">
        <v>594</v>
      </c>
      <c r="B596" s="52">
        <f>1+(1-捕魚機!$B$5)*B595+捕魚機!$B$5*B594</f>
        <v/>
      </c>
    </row>
    <row r="597">
      <c r="A597" s="5" t="n">
        <v>595</v>
      </c>
      <c r="B597" s="52">
        <f>1+(1-捕魚機!$B$5)*B596+捕魚機!$B$5*B595</f>
        <v/>
      </c>
    </row>
    <row r="598">
      <c r="A598" s="5" t="n">
        <v>596</v>
      </c>
      <c r="B598" s="52">
        <f>1+(1-捕魚機!$B$5)*B597+捕魚機!$B$5*B596</f>
        <v/>
      </c>
    </row>
    <row r="599">
      <c r="A599" s="5" t="n">
        <v>597</v>
      </c>
      <c r="B599" s="52">
        <f>1+(1-捕魚機!$B$5)*B598+捕魚機!$B$5*B597</f>
        <v/>
      </c>
    </row>
    <row r="600">
      <c r="A600" s="5" t="n">
        <v>598</v>
      </c>
      <c r="B600" s="52">
        <f>1+(1-捕魚機!$B$5)*B599+捕魚機!$B$5*B598</f>
        <v/>
      </c>
    </row>
    <row r="601">
      <c r="A601" s="5" t="n">
        <v>599</v>
      </c>
      <c r="B601" s="52">
        <f>1+(1-捕魚機!$B$5)*B600+捕魚機!$B$5*B599</f>
        <v/>
      </c>
    </row>
    <row r="602">
      <c r="A602" s="5" t="n">
        <v>600</v>
      </c>
      <c r="B602" s="52">
        <f>1+(1-捕魚機!$B$5)*B601+捕魚機!$B$5*B600</f>
        <v/>
      </c>
    </row>
    <row r="603">
      <c r="A603" s="5" t="n">
        <v>601</v>
      </c>
      <c r="B603" s="52">
        <f>1+(1-捕魚機!$B$5)*B602+捕魚機!$B$5*B601</f>
        <v/>
      </c>
    </row>
    <row r="604">
      <c r="A604" s="5" t="n">
        <v>602</v>
      </c>
      <c r="B604" s="52">
        <f>1+(1-捕魚機!$B$5)*B603+捕魚機!$B$5*B602</f>
        <v/>
      </c>
    </row>
    <row r="605">
      <c r="A605" s="5" t="n">
        <v>603</v>
      </c>
      <c r="B605" s="52">
        <f>1+(1-捕魚機!$B$5)*B604+捕魚機!$B$5*B603</f>
        <v/>
      </c>
    </row>
    <row r="606">
      <c r="A606" s="5" t="n">
        <v>604</v>
      </c>
      <c r="B606" s="52">
        <f>1+(1-捕魚機!$B$5)*B605+捕魚機!$B$5*B604</f>
        <v/>
      </c>
    </row>
    <row r="607">
      <c r="A607" s="5" t="n">
        <v>605</v>
      </c>
      <c r="B607" s="52">
        <f>1+(1-捕魚機!$B$5)*B606+捕魚機!$B$5*B605</f>
        <v/>
      </c>
    </row>
    <row r="608">
      <c r="A608" s="5" t="n">
        <v>606</v>
      </c>
      <c r="B608" s="52">
        <f>1+(1-捕魚機!$B$5)*B607+捕魚機!$B$5*B606</f>
        <v/>
      </c>
    </row>
    <row r="609">
      <c r="A609" s="5" t="n">
        <v>607</v>
      </c>
      <c r="B609" s="52">
        <f>1+(1-捕魚機!$B$5)*B608+捕魚機!$B$5*B607</f>
        <v/>
      </c>
    </row>
    <row r="610">
      <c r="A610" s="5" t="n">
        <v>608</v>
      </c>
      <c r="B610" s="52">
        <f>1+(1-捕魚機!$B$5)*B609+捕魚機!$B$5*B608</f>
        <v/>
      </c>
    </row>
    <row r="611">
      <c r="A611" s="5" t="n">
        <v>609</v>
      </c>
      <c r="B611" s="52">
        <f>1+(1-捕魚機!$B$5)*B610+捕魚機!$B$5*B609</f>
        <v/>
      </c>
    </row>
    <row r="612">
      <c r="A612" s="5" t="n">
        <v>610</v>
      </c>
      <c r="B612" s="52">
        <f>1+(1-捕魚機!$B$5)*B611+捕魚機!$B$5*B610</f>
        <v/>
      </c>
    </row>
    <row r="613">
      <c r="A613" s="5" t="n">
        <v>611</v>
      </c>
      <c r="B613" s="52">
        <f>1+(1-捕魚機!$B$5)*B612+捕魚機!$B$5*B611</f>
        <v/>
      </c>
    </row>
    <row r="614">
      <c r="A614" s="5" t="n">
        <v>612</v>
      </c>
      <c r="B614" s="52">
        <f>1+(1-捕魚機!$B$5)*B613+捕魚機!$B$5*B612</f>
        <v/>
      </c>
    </row>
    <row r="615">
      <c r="A615" s="5" t="n">
        <v>613</v>
      </c>
      <c r="B615" s="52">
        <f>1+(1-捕魚機!$B$5)*B614+捕魚機!$B$5*B613</f>
        <v/>
      </c>
    </row>
    <row r="616">
      <c r="A616" s="5" t="n">
        <v>614</v>
      </c>
      <c r="B616" s="52">
        <f>1+(1-捕魚機!$B$5)*B615+捕魚機!$B$5*B614</f>
        <v/>
      </c>
    </row>
    <row r="617">
      <c r="A617" s="5" t="n">
        <v>615</v>
      </c>
      <c r="B617" s="52">
        <f>1+(1-捕魚機!$B$5)*B616+捕魚機!$B$5*B615</f>
        <v/>
      </c>
    </row>
    <row r="618">
      <c r="A618" s="5" t="n">
        <v>616</v>
      </c>
      <c r="B618" s="52">
        <f>1+(1-捕魚機!$B$5)*B617+捕魚機!$B$5*B616</f>
        <v/>
      </c>
    </row>
    <row r="619">
      <c r="A619" s="5" t="n">
        <v>617</v>
      </c>
      <c r="B619" s="52">
        <f>1+(1-捕魚機!$B$5)*B618+捕魚機!$B$5*B617</f>
        <v/>
      </c>
    </row>
    <row r="620">
      <c r="A620" s="5" t="n">
        <v>618</v>
      </c>
      <c r="B620" s="52">
        <f>1+(1-捕魚機!$B$5)*B619+捕魚機!$B$5*B618</f>
        <v/>
      </c>
    </row>
    <row r="621">
      <c r="A621" s="5" t="n">
        <v>619</v>
      </c>
      <c r="B621" s="52">
        <f>1+(1-捕魚機!$B$5)*B620+捕魚機!$B$5*B619</f>
        <v/>
      </c>
    </row>
    <row r="622">
      <c r="A622" s="5" t="n">
        <v>620</v>
      </c>
      <c r="B622" s="52">
        <f>1+(1-捕魚機!$B$5)*B621+捕魚機!$B$5*B620</f>
        <v/>
      </c>
    </row>
    <row r="623">
      <c r="A623" s="5" t="n">
        <v>621</v>
      </c>
      <c r="B623" s="52">
        <f>1+(1-捕魚機!$B$5)*B622+捕魚機!$B$5*B621</f>
        <v/>
      </c>
    </row>
    <row r="624">
      <c r="A624" s="5" t="n">
        <v>622</v>
      </c>
      <c r="B624" s="52">
        <f>1+(1-捕魚機!$B$5)*B623+捕魚機!$B$5*B622</f>
        <v/>
      </c>
    </row>
    <row r="625">
      <c r="A625" s="5" t="n">
        <v>623</v>
      </c>
      <c r="B625" s="52">
        <f>1+(1-捕魚機!$B$5)*B624+捕魚機!$B$5*B623</f>
        <v/>
      </c>
    </row>
    <row r="626">
      <c r="A626" s="5" t="n">
        <v>624</v>
      </c>
      <c r="B626" s="52">
        <f>1+(1-捕魚機!$B$5)*B625+捕魚機!$B$5*B624</f>
        <v/>
      </c>
    </row>
    <row r="627">
      <c r="A627" s="5" t="n">
        <v>625</v>
      </c>
      <c r="B627" s="52">
        <f>1+(1-捕魚機!$B$5)*B626+捕魚機!$B$5*B625</f>
        <v/>
      </c>
    </row>
    <row r="628">
      <c r="A628" s="5" t="n">
        <v>626</v>
      </c>
      <c r="B628" s="52">
        <f>1+(1-捕魚機!$B$5)*B627+捕魚機!$B$5*B626</f>
        <v/>
      </c>
    </row>
    <row r="629">
      <c r="A629" s="5" t="n">
        <v>627</v>
      </c>
      <c r="B629" s="52">
        <f>1+(1-捕魚機!$B$5)*B628+捕魚機!$B$5*B627</f>
        <v/>
      </c>
    </row>
    <row r="630">
      <c r="A630" s="5" t="n">
        <v>628</v>
      </c>
      <c r="B630" s="52">
        <f>1+(1-捕魚機!$B$5)*B629+捕魚機!$B$5*B628</f>
        <v/>
      </c>
    </row>
    <row r="631">
      <c r="A631" s="5" t="n">
        <v>629</v>
      </c>
      <c r="B631" s="52">
        <f>1+(1-捕魚機!$B$5)*B630+捕魚機!$B$5*B629</f>
        <v/>
      </c>
    </row>
    <row r="632">
      <c r="A632" s="5" t="n">
        <v>630</v>
      </c>
      <c r="B632" s="52">
        <f>1+(1-捕魚機!$B$5)*B631+捕魚機!$B$5*B630</f>
        <v/>
      </c>
    </row>
    <row r="633">
      <c r="A633" s="5" t="n">
        <v>631</v>
      </c>
      <c r="B633" s="52">
        <f>1+(1-捕魚機!$B$5)*B632+捕魚機!$B$5*B631</f>
        <v/>
      </c>
    </row>
    <row r="634">
      <c r="A634" s="5" t="n">
        <v>632</v>
      </c>
      <c r="B634" s="52">
        <f>1+(1-捕魚機!$B$5)*B633+捕魚機!$B$5*B632</f>
        <v/>
      </c>
    </row>
    <row r="635">
      <c r="A635" s="5" t="n">
        <v>633</v>
      </c>
      <c r="B635" s="52">
        <f>1+(1-捕魚機!$B$5)*B634+捕魚機!$B$5*B633</f>
        <v/>
      </c>
    </row>
    <row r="636">
      <c r="A636" s="5" t="n">
        <v>634</v>
      </c>
      <c r="B636" s="52">
        <f>1+(1-捕魚機!$B$5)*B635+捕魚機!$B$5*B634</f>
        <v/>
      </c>
    </row>
    <row r="637">
      <c r="A637" s="5" t="n">
        <v>635</v>
      </c>
      <c r="B637" s="52">
        <f>1+(1-捕魚機!$B$5)*B636+捕魚機!$B$5*B635</f>
        <v/>
      </c>
    </row>
    <row r="638">
      <c r="A638" s="5" t="n">
        <v>636</v>
      </c>
      <c r="B638" s="52">
        <f>1+(1-捕魚機!$B$5)*B637+捕魚機!$B$5*B636</f>
        <v/>
      </c>
    </row>
    <row r="639">
      <c r="A639" s="5" t="n">
        <v>637</v>
      </c>
      <c r="B639" s="52">
        <f>1+(1-捕魚機!$B$5)*B638+捕魚機!$B$5*B637</f>
        <v/>
      </c>
    </row>
    <row r="640">
      <c r="A640" s="5" t="n">
        <v>638</v>
      </c>
      <c r="B640" s="52">
        <f>1+(1-捕魚機!$B$5)*B639+捕魚機!$B$5*B638</f>
        <v/>
      </c>
    </row>
    <row r="641">
      <c r="A641" s="5" t="n">
        <v>639</v>
      </c>
      <c r="B641" s="52">
        <f>1+(1-捕魚機!$B$5)*B640+捕魚機!$B$5*B639</f>
        <v/>
      </c>
    </row>
    <row r="642">
      <c r="A642" s="5" t="n">
        <v>640</v>
      </c>
      <c r="B642" s="52">
        <f>1+(1-捕魚機!$B$5)*B641+捕魚機!$B$5*B640</f>
        <v/>
      </c>
    </row>
    <row r="643">
      <c r="A643" s="5" t="n">
        <v>641</v>
      </c>
      <c r="B643" s="52">
        <f>1+(1-捕魚機!$B$5)*B642+捕魚機!$B$5*B641</f>
        <v/>
      </c>
    </row>
    <row r="644">
      <c r="A644" s="5" t="n">
        <v>642</v>
      </c>
      <c r="B644" s="52">
        <f>1+(1-捕魚機!$B$5)*B643+捕魚機!$B$5*B642</f>
        <v/>
      </c>
    </row>
    <row r="645">
      <c r="A645" s="5" t="n">
        <v>643</v>
      </c>
      <c r="B645" s="52">
        <f>1+(1-捕魚機!$B$5)*B644+捕魚機!$B$5*B643</f>
        <v/>
      </c>
    </row>
    <row r="646">
      <c r="A646" s="5" t="n">
        <v>644</v>
      </c>
      <c r="B646" s="52">
        <f>1+(1-捕魚機!$B$5)*B645+捕魚機!$B$5*B644</f>
        <v/>
      </c>
    </row>
    <row r="647">
      <c r="A647" s="5" t="n">
        <v>645</v>
      </c>
      <c r="B647" s="52">
        <f>1+(1-捕魚機!$B$5)*B646+捕魚機!$B$5*B645</f>
        <v/>
      </c>
    </row>
    <row r="648">
      <c r="A648" s="5" t="n">
        <v>646</v>
      </c>
      <c r="B648" s="52">
        <f>1+(1-捕魚機!$B$5)*B647+捕魚機!$B$5*B646</f>
        <v/>
      </c>
    </row>
    <row r="649">
      <c r="A649" s="5" t="n">
        <v>647</v>
      </c>
      <c r="B649" s="52">
        <f>1+(1-捕魚機!$B$5)*B648+捕魚機!$B$5*B647</f>
        <v/>
      </c>
    </row>
    <row r="650">
      <c r="A650" s="5" t="n">
        <v>648</v>
      </c>
      <c r="B650" s="52">
        <f>1+(1-捕魚機!$B$5)*B649+捕魚機!$B$5*B648</f>
        <v/>
      </c>
    </row>
    <row r="651">
      <c r="A651" s="5" t="n">
        <v>649</v>
      </c>
      <c r="B651" s="52">
        <f>1+(1-捕魚機!$B$5)*B650+捕魚機!$B$5*B649</f>
        <v/>
      </c>
    </row>
    <row r="652">
      <c r="A652" s="5" t="n">
        <v>650</v>
      </c>
      <c r="B652" s="52">
        <f>1+(1-捕魚機!$B$5)*B651+捕魚機!$B$5*B650</f>
        <v/>
      </c>
    </row>
    <row r="653">
      <c r="A653" s="5" t="n">
        <v>651</v>
      </c>
      <c r="B653" s="52">
        <f>1+(1-捕魚機!$B$5)*B652+捕魚機!$B$5*B651</f>
        <v/>
      </c>
    </row>
    <row r="654">
      <c r="A654" s="5" t="n">
        <v>652</v>
      </c>
      <c r="B654" s="52">
        <f>1+(1-捕魚機!$B$5)*B653+捕魚機!$B$5*B652</f>
        <v/>
      </c>
    </row>
    <row r="655">
      <c r="A655" s="5" t="n">
        <v>653</v>
      </c>
      <c r="B655" s="52">
        <f>1+(1-捕魚機!$B$5)*B654+捕魚機!$B$5*B653</f>
        <v/>
      </c>
    </row>
    <row r="656">
      <c r="A656" s="5" t="n">
        <v>654</v>
      </c>
      <c r="B656" s="52">
        <f>1+(1-捕魚機!$B$5)*B655+捕魚機!$B$5*B654</f>
        <v/>
      </c>
    </row>
    <row r="657">
      <c r="A657" s="5" t="n">
        <v>655</v>
      </c>
      <c r="B657" s="52">
        <f>1+(1-捕魚機!$B$5)*B656+捕魚機!$B$5*B655</f>
        <v/>
      </c>
    </row>
    <row r="658">
      <c r="A658" s="5" t="n">
        <v>656</v>
      </c>
      <c r="B658" s="52">
        <f>1+(1-捕魚機!$B$5)*B657+捕魚機!$B$5*B656</f>
        <v/>
      </c>
    </row>
    <row r="659">
      <c r="A659" s="5" t="n">
        <v>657</v>
      </c>
      <c r="B659" s="52">
        <f>1+(1-捕魚機!$B$5)*B658+捕魚機!$B$5*B657</f>
        <v/>
      </c>
    </row>
    <row r="660">
      <c r="A660" s="5" t="n">
        <v>658</v>
      </c>
      <c r="B660" s="52">
        <f>1+(1-捕魚機!$B$5)*B659+捕魚機!$B$5*B658</f>
        <v/>
      </c>
    </row>
    <row r="661">
      <c r="A661" s="5" t="n">
        <v>659</v>
      </c>
      <c r="B661" s="52">
        <f>1+(1-捕魚機!$B$5)*B660+捕魚機!$B$5*B659</f>
        <v/>
      </c>
    </row>
    <row r="662">
      <c r="A662" s="5" t="n">
        <v>660</v>
      </c>
      <c r="B662" s="52">
        <f>1+(1-捕魚機!$B$5)*B661+捕魚機!$B$5*B660</f>
        <v/>
      </c>
    </row>
    <row r="663">
      <c r="A663" s="5" t="n">
        <v>661</v>
      </c>
      <c r="B663" s="52">
        <f>1+(1-捕魚機!$B$5)*B662+捕魚機!$B$5*B661</f>
        <v/>
      </c>
    </row>
    <row r="664">
      <c r="A664" s="5" t="n">
        <v>662</v>
      </c>
      <c r="B664" s="52">
        <f>1+(1-捕魚機!$B$5)*B663+捕魚機!$B$5*B662</f>
        <v/>
      </c>
    </row>
    <row r="665">
      <c r="A665" s="5" t="n">
        <v>663</v>
      </c>
      <c r="B665" s="52">
        <f>1+(1-捕魚機!$B$5)*B664+捕魚機!$B$5*B663</f>
        <v/>
      </c>
    </row>
    <row r="666">
      <c r="A666" s="5" t="n">
        <v>664</v>
      </c>
      <c r="B666" s="52">
        <f>1+(1-捕魚機!$B$5)*B665+捕魚機!$B$5*B664</f>
        <v/>
      </c>
    </row>
    <row r="667">
      <c r="A667" s="5" t="n">
        <v>665</v>
      </c>
      <c r="B667" s="52">
        <f>1+(1-捕魚機!$B$5)*B666+捕魚機!$B$5*B665</f>
        <v/>
      </c>
    </row>
    <row r="668">
      <c r="A668" s="5" t="n">
        <v>666</v>
      </c>
      <c r="B668" s="52">
        <f>1+(1-捕魚機!$B$5)*B667+捕魚機!$B$5*B666</f>
        <v/>
      </c>
    </row>
    <row r="669">
      <c r="A669" s="5" t="n">
        <v>667</v>
      </c>
      <c r="B669" s="52">
        <f>1+(1-捕魚機!$B$5)*B668+捕魚機!$B$5*B667</f>
        <v/>
      </c>
    </row>
    <row r="670">
      <c r="A670" s="5" t="n">
        <v>668</v>
      </c>
      <c r="B670" s="52">
        <f>1+(1-捕魚機!$B$5)*B669+捕魚機!$B$5*B668</f>
        <v/>
      </c>
    </row>
    <row r="671">
      <c r="A671" s="5" t="n">
        <v>669</v>
      </c>
      <c r="B671" s="52">
        <f>1+(1-捕魚機!$B$5)*B670+捕魚機!$B$5*B669</f>
        <v/>
      </c>
    </row>
    <row r="672">
      <c r="A672" s="5" t="n">
        <v>670</v>
      </c>
      <c r="B672" s="52">
        <f>1+(1-捕魚機!$B$5)*B671+捕魚機!$B$5*B670</f>
        <v/>
      </c>
    </row>
    <row r="673">
      <c r="A673" s="5" t="n">
        <v>671</v>
      </c>
      <c r="B673" s="52">
        <f>1+(1-捕魚機!$B$5)*B672+捕魚機!$B$5*B671</f>
        <v/>
      </c>
    </row>
    <row r="674">
      <c r="A674" s="5" t="n">
        <v>672</v>
      </c>
      <c r="B674" s="52">
        <f>1+(1-捕魚機!$B$5)*B673+捕魚機!$B$5*B672</f>
        <v/>
      </c>
    </row>
    <row r="675">
      <c r="A675" s="5" t="n">
        <v>673</v>
      </c>
      <c r="B675" s="52">
        <f>1+(1-捕魚機!$B$5)*B674+捕魚機!$B$5*B673</f>
        <v/>
      </c>
    </row>
    <row r="676">
      <c r="A676" s="5" t="n">
        <v>674</v>
      </c>
      <c r="B676" s="52">
        <f>1+(1-捕魚機!$B$5)*B675+捕魚機!$B$5*B674</f>
        <v/>
      </c>
    </row>
    <row r="677">
      <c r="A677" s="5" t="n">
        <v>675</v>
      </c>
      <c r="B677" s="52">
        <f>1+(1-捕魚機!$B$5)*B676+捕魚機!$B$5*B675</f>
        <v/>
      </c>
    </row>
    <row r="678">
      <c r="A678" s="5" t="n">
        <v>676</v>
      </c>
      <c r="B678" s="52">
        <f>1+(1-捕魚機!$B$5)*B677+捕魚機!$B$5*B676</f>
        <v/>
      </c>
    </row>
    <row r="679">
      <c r="A679" s="5" t="n">
        <v>677</v>
      </c>
      <c r="B679" s="52">
        <f>1+(1-捕魚機!$B$5)*B678+捕魚機!$B$5*B677</f>
        <v/>
      </c>
    </row>
    <row r="680">
      <c r="A680" s="5" t="n">
        <v>678</v>
      </c>
      <c r="B680" s="52">
        <f>1+(1-捕魚機!$B$5)*B679+捕魚機!$B$5*B678</f>
        <v/>
      </c>
    </row>
    <row r="681">
      <c r="A681" s="5" t="n">
        <v>679</v>
      </c>
      <c r="B681" s="52">
        <f>1+(1-捕魚機!$B$5)*B680+捕魚機!$B$5*B679</f>
        <v/>
      </c>
    </row>
    <row r="682">
      <c r="A682" s="5" t="n">
        <v>680</v>
      </c>
      <c r="B682" s="52">
        <f>1+(1-捕魚機!$B$5)*B681+捕魚機!$B$5*B680</f>
        <v/>
      </c>
    </row>
    <row r="683">
      <c r="A683" s="5" t="n">
        <v>681</v>
      </c>
      <c r="B683" s="52">
        <f>1+(1-捕魚機!$B$5)*B682+捕魚機!$B$5*B681</f>
        <v/>
      </c>
    </row>
    <row r="684">
      <c r="A684" s="5" t="n">
        <v>682</v>
      </c>
      <c r="B684" s="52">
        <f>1+(1-捕魚機!$B$5)*B683+捕魚機!$B$5*B682</f>
        <v/>
      </c>
    </row>
    <row r="685">
      <c r="A685" s="5" t="n">
        <v>683</v>
      </c>
      <c r="B685" s="52">
        <f>1+(1-捕魚機!$B$5)*B684+捕魚機!$B$5*B683</f>
        <v/>
      </c>
    </row>
    <row r="686">
      <c r="A686" s="5" t="n">
        <v>684</v>
      </c>
      <c r="B686" s="52">
        <f>1+(1-捕魚機!$B$5)*B685+捕魚機!$B$5*B684</f>
        <v/>
      </c>
    </row>
    <row r="687">
      <c r="A687" s="5" t="n">
        <v>685</v>
      </c>
      <c r="B687" s="52">
        <f>1+(1-捕魚機!$B$5)*B686+捕魚機!$B$5*B685</f>
        <v/>
      </c>
    </row>
    <row r="688">
      <c r="A688" s="5" t="n">
        <v>686</v>
      </c>
      <c r="B688" s="52">
        <f>1+(1-捕魚機!$B$5)*B687+捕魚機!$B$5*B686</f>
        <v/>
      </c>
    </row>
    <row r="689">
      <c r="A689" s="5" t="n">
        <v>687</v>
      </c>
      <c r="B689" s="52">
        <f>1+(1-捕魚機!$B$5)*B688+捕魚機!$B$5*B687</f>
        <v/>
      </c>
    </row>
    <row r="690">
      <c r="A690" s="5" t="n">
        <v>688</v>
      </c>
      <c r="B690" s="52">
        <f>1+(1-捕魚機!$B$5)*B689+捕魚機!$B$5*B688</f>
        <v/>
      </c>
    </row>
    <row r="691">
      <c r="A691" s="5" t="n">
        <v>689</v>
      </c>
      <c r="B691" s="52">
        <f>1+(1-捕魚機!$B$5)*B690+捕魚機!$B$5*B689</f>
        <v/>
      </c>
    </row>
    <row r="692">
      <c r="A692" s="5" t="n">
        <v>690</v>
      </c>
      <c r="B692" s="52">
        <f>1+(1-捕魚機!$B$5)*B691+捕魚機!$B$5*B690</f>
        <v/>
      </c>
    </row>
    <row r="693">
      <c r="A693" s="5" t="n">
        <v>691</v>
      </c>
      <c r="B693" s="52">
        <f>1+(1-捕魚機!$B$5)*B692+捕魚機!$B$5*B691</f>
        <v/>
      </c>
    </row>
    <row r="694">
      <c r="A694" s="5" t="n">
        <v>692</v>
      </c>
      <c r="B694" s="52">
        <f>1+(1-捕魚機!$B$5)*B693+捕魚機!$B$5*B692</f>
        <v/>
      </c>
    </row>
    <row r="695">
      <c r="A695" s="5" t="n">
        <v>693</v>
      </c>
      <c r="B695" s="52">
        <f>1+(1-捕魚機!$B$5)*B694+捕魚機!$B$5*B693</f>
        <v/>
      </c>
    </row>
    <row r="696">
      <c r="A696" s="5" t="n">
        <v>694</v>
      </c>
      <c r="B696" s="52">
        <f>1+(1-捕魚機!$B$5)*B695+捕魚機!$B$5*B694</f>
        <v/>
      </c>
    </row>
    <row r="697">
      <c r="A697" s="5" t="n">
        <v>695</v>
      </c>
      <c r="B697" s="52">
        <f>1+(1-捕魚機!$B$5)*B696+捕魚機!$B$5*B695</f>
        <v/>
      </c>
    </row>
    <row r="698">
      <c r="A698" s="5" t="n">
        <v>696</v>
      </c>
      <c r="B698" s="52">
        <f>1+(1-捕魚機!$B$5)*B697+捕魚機!$B$5*B696</f>
        <v/>
      </c>
    </row>
    <row r="699">
      <c r="A699" s="5" t="n">
        <v>697</v>
      </c>
      <c r="B699" s="52">
        <f>1+(1-捕魚機!$B$5)*B698+捕魚機!$B$5*B697</f>
        <v/>
      </c>
    </row>
    <row r="700">
      <c r="A700" s="5" t="n">
        <v>698</v>
      </c>
      <c r="B700" s="52">
        <f>1+(1-捕魚機!$B$5)*B699+捕魚機!$B$5*B698</f>
        <v/>
      </c>
    </row>
    <row r="701">
      <c r="A701" s="5" t="n">
        <v>699</v>
      </c>
      <c r="B701" s="52">
        <f>1+(1-捕魚機!$B$5)*B700+捕魚機!$B$5*B699</f>
        <v/>
      </c>
    </row>
    <row r="702">
      <c r="A702" s="5" t="n">
        <v>700</v>
      </c>
      <c r="B702" s="52">
        <f>1+(1-捕魚機!$B$5)*B701+捕魚機!$B$5*B700</f>
        <v/>
      </c>
    </row>
    <row r="703">
      <c r="A703" s="5" t="n">
        <v>701</v>
      </c>
      <c r="B703" s="52">
        <f>1+(1-捕魚機!$B$5)*B702+捕魚機!$B$5*B701</f>
        <v/>
      </c>
    </row>
    <row r="704">
      <c r="A704" s="5" t="n">
        <v>702</v>
      </c>
      <c r="B704" s="52">
        <f>1+(1-捕魚機!$B$5)*B703+捕魚機!$B$5*B702</f>
        <v/>
      </c>
    </row>
    <row r="705">
      <c r="A705" s="5" t="n">
        <v>703</v>
      </c>
      <c r="B705" s="52">
        <f>1+(1-捕魚機!$B$5)*B704+捕魚機!$B$5*B703</f>
        <v/>
      </c>
    </row>
    <row r="706">
      <c r="A706" s="5" t="n">
        <v>704</v>
      </c>
      <c r="B706" s="52">
        <f>1+(1-捕魚機!$B$5)*B705+捕魚機!$B$5*B704</f>
        <v/>
      </c>
    </row>
    <row r="707">
      <c r="A707" s="5" t="n">
        <v>705</v>
      </c>
      <c r="B707" s="52">
        <f>1+(1-捕魚機!$B$5)*B706+捕魚機!$B$5*B705</f>
        <v/>
      </c>
    </row>
    <row r="708">
      <c r="A708" s="5" t="n">
        <v>706</v>
      </c>
      <c r="B708" s="52">
        <f>1+(1-捕魚機!$B$5)*B707+捕魚機!$B$5*B706</f>
        <v/>
      </c>
    </row>
    <row r="709">
      <c r="A709" s="5" t="n">
        <v>707</v>
      </c>
      <c r="B709" s="52">
        <f>1+(1-捕魚機!$B$5)*B708+捕魚機!$B$5*B707</f>
        <v/>
      </c>
    </row>
    <row r="710">
      <c r="A710" s="5" t="n">
        <v>708</v>
      </c>
      <c r="B710" s="52">
        <f>1+(1-捕魚機!$B$5)*B709+捕魚機!$B$5*B708</f>
        <v/>
      </c>
    </row>
    <row r="711">
      <c r="A711" s="5" t="n">
        <v>709</v>
      </c>
      <c r="B711" s="52">
        <f>1+(1-捕魚機!$B$5)*B710+捕魚機!$B$5*B709</f>
        <v/>
      </c>
    </row>
    <row r="712">
      <c r="A712" s="5" t="n">
        <v>710</v>
      </c>
      <c r="B712" s="52">
        <f>1+(1-捕魚機!$B$5)*B711+捕魚機!$B$5*B710</f>
        <v/>
      </c>
    </row>
    <row r="713">
      <c r="A713" s="5" t="n">
        <v>711</v>
      </c>
      <c r="B713" s="52">
        <f>1+(1-捕魚機!$B$5)*B712+捕魚機!$B$5*B711</f>
        <v/>
      </c>
    </row>
    <row r="714">
      <c r="A714" s="5" t="n">
        <v>712</v>
      </c>
      <c r="B714" s="52">
        <f>1+(1-捕魚機!$B$5)*B713+捕魚機!$B$5*B712</f>
        <v/>
      </c>
    </row>
    <row r="715">
      <c r="A715" s="5" t="n">
        <v>713</v>
      </c>
      <c r="B715" s="52">
        <f>1+(1-捕魚機!$B$5)*B714+捕魚機!$B$5*B713</f>
        <v/>
      </c>
    </row>
    <row r="716">
      <c r="A716" s="5" t="n">
        <v>714</v>
      </c>
      <c r="B716" s="52">
        <f>1+(1-捕魚機!$B$5)*B715+捕魚機!$B$5*B714</f>
        <v/>
      </c>
    </row>
    <row r="717">
      <c r="A717" s="5" t="n">
        <v>715</v>
      </c>
      <c r="B717" s="52">
        <f>1+(1-捕魚機!$B$5)*B716+捕魚機!$B$5*B715</f>
        <v/>
      </c>
    </row>
    <row r="718">
      <c r="A718" s="5" t="n">
        <v>716</v>
      </c>
      <c r="B718" s="52">
        <f>1+(1-捕魚機!$B$5)*B717+捕魚機!$B$5*B716</f>
        <v/>
      </c>
    </row>
    <row r="719">
      <c r="A719" s="5" t="n">
        <v>717</v>
      </c>
      <c r="B719" s="52">
        <f>1+(1-捕魚機!$B$5)*B718+捕魚機!$B$5*B717</f>
        <v/>
      </c>
    </row>
    <row r="720">
      <c r="A720" s="5" t="n">
        <v>718</v>
      </c>
      <c r="B720" s="52">
        <f>1+(1-捕魚機!$B$5)*B719+捕魚機!$B$5*B718</f>
        <v/>
      </c>
    </row>
    <row r="721">
      <c r="A721" s="5" t="n">
        <v>719</v>
      </c>
      <c r="B721" s="52">
        <f>1+(1-捕魚機!$B$5)*B720+捕魚機!$B$5*B719</f>
        <v/>
      </c>
    </row>
    <row r="722">
      <c r="A722" s="5" t="n">
        <v>720</v>
      </c>
      <c r="B722" s="52">
        <f>1+(1-捕魚機!$B$5)*B721+捕魚機!$B$5*B720</f>
        <v/>
      </c>
    </row>
    <row r="723">
      <c r="A723" s="5" t="n">
        <v>721</v>
      </c>
      <c r="B723" s="52">
        <f>1+(1-捕魚機!$B$5)*B722+捕魚機!$B$5*B721</f>
        <v/>
      </c>
    </row>
    <row r="724">
      <c r="A724" s="5" t="n">
        <v>722</v>
      </c>
      <c r="B724" s="52">
        <f>1+(1-捕魚機!$B$5)*B723+捕魚機!$B$5*B722</f>
        <v/>
      </c>
    </row>
    <row r="725">
      <c r="A725" s="5" t="n">
        <v>723</v>
      </c>
      <c r="B725" s="52">
        <f>1+(1-捕魚機!$B$5)*B724+捕魚機!$B$5*B723</f>
        <v/>
      </c>
    </row>
    <row r="726">
      <c r="A726" s="5" t="n">
        <v>724</v>
      </c>
      <c r="B726" s="52">
        <f>1+(1-捕魚機!$B$5)*B725+捕魚機!$B$5*B724</f>
        <v/>
      </c>
    </row>
    <row r="727">
      <c r="A727" s="5" t="n">
        <v>725</v>
      </c>
      <c r="B727" s="52">
        <f>1+(1-捕魚機!$B$5)*B726+捕魚機!$B$5*B725</f>
        <v/>
      </c>
    </row>
    <row r="728">
      <c r="A728" s="5" t="n">
        <v>726</v>
      </c>
      <c r="B728" s="52">
        <f>1+(1-捕魚機!$B$5)*B727+捕魚機!$B$5*B726</f>
        <v/>
      </c>
    </row>
    <row r="729">
      <c r="A729" s="5" t="n">
        <v>727</v>
      </c>
      <c r="B729" s="52">
        <f>1+(1-捕魚機!$B$5)*B728+捕魚機!$B$5*B727</f>
        <v/>
      </c>
    </row>
    <row r="730">
      <c r="A730" s="5" t="n">
        <v>728</v>
      </c>
      <c r="B730" s="52">
        <f>1+(1-捕魚機!$B$5)*B729+捕魚機!$B$5*B728</f>
        <v/>
      </c>
    </row>
    <row r="731">
      <c r="A731" s="5" t="n">
        <v>729</v>
      </c>
      <c r="B731" s="52">
        <f>1+(1-捕魚機!$B$5)*B730+捕魚機!$B$5*B729</f>
        <v/>
      </c>
    </row>
    <row r="732">
      <c r="A732" s="5" t="n">
        <v>730</v>
      </c>
      <c r="B732" s="52">
        <f>1+(1-捕魚機!$B$5)*B731+捕魚機!$B$5*B730</f>
        <v/>
      </c>
    </row>
    <row r="733">
      <c r="A733" s="5" t="n">
        <v>731</v>
      </c>
      <c r="B733" s="52">
        <f>1+(1-捕魚機!$B$5)*B732+捕魚機!$B$5*B731</f>
        <v/>
      </c>
    </row>
    <row r="734">
      <c r="A734" s="5" t="n">
        <v>732</v>
      </c>
      <c r="B734" s="52">
        <f>1+(1-捕魚機!$B$5)*B733+捕魚機!$B$5*B732</f>
        <v/>
      </c>
    </row>
    <row r="735">
      <c r="A735" s="5" t="n">
        <v>733</v>
      </c>
      <c r="B735" s="52">
        <f>1+(1-捕魚機!$B$5)*B734+捕魚機!$B$5*B733</f>
        <v/>
      </c>
    </row>
    <row r="736">
      <c r="A736" s="5" t="n">
        <v>734</v>
      </c>
      <c r="B736" s="52">
        <f>1+(1-捕魚機!$B$5)*B735+捕魚機!$B$5*B734</f>
        <v/>
      </c>
    </row>
    <row r="737">
      <c r="A737" s="5" t="n">
        <v>735</v>
      </c>
      <c r="B737" s="52">
        <f>1+(1-捕魚機!$B$5)*B736+捕魚機!$B$5*B735</f>
        <v/>
      </c>
    </row>
    <row r="738">
      <c r="A738" s="5" t="n">
        <v>736</v>
      </c>
      <c r="B738" s="52">
        <f>1+(1-捕魚機!$B$5)*B737+捕魚機!$B$5*B736</f>
        <v/>
      </c>
    </row>
    <row r="739">
      <c r="A739" s="5" t="n">
        <v>737</v>
      </c>
      <c r="B739" s="52">
        <f>1+(1-捕魚機!$B$5)*B738+捕魚機!$B$5*B737</f>
        <v/>
      </c>
    </row>
    <row r="740">
      <c r="A740" s="5" t="n">
        <v>738</v>
      </c>
      <c r="B740" s="52">
        <f>1+(1-捕魚機!$B$5)*B739+捕魚機!$B$5*B738</f>
        <v/>
      </c>
    </row>
    <row r="741">
      <c r="A741" s="5" t="n">
        <v>739</v>
      </c>
      <c r="B741" s="52">
        <f>1+(1-捕魚機!$B$5)*B740+捕魚機!$B$5*B739</f>
        <v/>
      </c>
    </row>
    <row r="742">
      <c r="A742" s="5" t="n">
        <v>740</v>
      </c>
      <c r="B742" s="52">
        <f>1+(1-捕魚機!$B$5)*B741+捕魚機!$B$5*B740</f>
        <v/>
      </c>
    </row>
    <row r="743">
      <c r="A743" s="5" t="n">
        <v>741</v>
      </c>
      <c r="B743" s="52">
        <f>1+(1-捕魚機!$B$5)*B742+捕魚機!$B$5*B741</f>
        <v/>
      </c>
    </row>
    <row r="744">
      <c r="A744" s="5" t="n">
        <v>742</v>
      </c>
      <c r="B744" s="52">
        <f>1+(1-捕魚機!$B$5)*B743+捕魚機!$B$5*B742</f>
        <v/>
      </c>
    </row>
    <row r="745">
      <c r="A745" s="5" t="n">
        <v>743</v>
      </c>
      <c r="B745" s="52">
        <f>1+(1-捕魚機!$B$5)*B744+捕魚機!$B$5*B743</f>
        <v/>
      </c>
    </row>
    <row r="746">
      <c r="A746" s="5" t="n">
        <v>744</v>
      </c>
      <c r="B746" s="52">
        <f>1+(1-捕魚機!$B$5)*B745+捕魚機!$B$5*B744</f>
        <v/>
      </c>
    </row>
    <row r="747">
      <c r="A747" s="5" t="n">
        <v>745</v>
      </c>
      <c r="B747" s="52">
        <f>1+(1-捕魚機!$B$5)*B746+捕魚機!$B$5*B745</f>
        <v/>
      </c>
    </row>
    <row r="748">
      <c r="A748" s="5" t="n">
        <v>746</v>
      </c>
      <c r="B748" s="52">
        <f>1+(1-捕魚機!$B$5)*B747+捕魚機!$B$5*B746</f>
        <v/>
      </c>
    </row>
    <row r="749">
      <c r="A749" s="5" t="n">
        <v>747</v>
      </c>
      <c r="B749" s="52">
        <f>1+(1-捕魚機!$B$5)*B748+捕魚機!$B$5*B747</f>
        <v/>
      </c>
    </row>
    <row r="750">
      <c r="A750" s="5" t="n">
        <v>748</v>
      </c>
      <c r="B750" s="52">
        <f>1+(1-捕魚機!$B$5)*B749+捕魚機!$B$5*B748</f>
        <v/>
      </c>
    </row>
    <row r="751">
      <c r="A751" s="5" t="n">
        <v>749</v>
      </c>
      <c r="B751" s="52">
        <f>1+(1-捕魚機!$B$5)*B750+捕魚機!$B$5*B749</f>
        <v/>
      </c>
    </row>
    <row r="752">
      <c r="A752" s="5" t="n">
        <v>750</v>
      </c>
      <c r="B752" s="52">
        <f>1+(1-捕魚機!$B$5)*B751+捕魚機!$B$5*B750</f>
        <v/>
      </c>
    </row>
    <row r="753">
      <c r="A753" s="5" t="n">
        <v>751</v>
      </c>
      <c r="B753" s="52">
        <f>1+(1-捕魚機!$B$5)*B752+捕魚機!$B$5*B751</f>
        <v/>
      </c>
    </row>
    <row r="754">
      <c r="A754" s="5" t="n">
        <v>752</v>
      </c>
      <c r="B754" s="52">
        <f>1+(1-捕魚機!$B$5)*B753+捕魚機!$B$5*B752</f>
        <v/>
      </c>
    </row>
    <row r="755">
      <c r="A755" s="5" t="n">
        <v>753</v>
      </c>
      <c r="B755" s="52">
        <f>1+(1-捕魚機!$B$5)*B754+捕魚機!$B$5*B753</f>
        <v/>
      </c>
    </row>
    <row r="756">
      <c r="A756" s="5" t="n">
        <v>754</v>
      </c>
      <c r="B756" s="52">
        <f>1+(1-捕魚機!$B$5)*B755+捕魚機!$B$5*B754</f>
        <v/>
      </c>
    </row>
    <row r="757">
      <c r="A757" s="5" t="n">
        <v>755</v>
      </c>
      <c r="B757" s="52">
        <f>1+(1-捕魚機!$B$5)*B756+捕魚機!$B$5*B755</f>
        <v/>
      </c>
    </row>
    <row r="758">
      <c r="A758" s="5" t="n">
        <v>756</v>
      </c>
      <c r="B758" s="52">
        <f>1+(1-捕魚機!$B$5)*B757+捕魚機!$B$5*B756</f>
        <v/>
      </c>
    </row>
    <row r="759">
      <c r="A759" s="5" t="n">
        <v>757</v>
      </c>
      <c r="B759" s="52">
        <f>1+(1-捕魚機!$B$5)*B758+捕魚機!$B$5*B757</f>
        <v/>
      </c>
    </row>
    <row r="760">
      <c r="A760" s="5" t="n">
        <v>758</v>
      </c>
      <c r="B760" s="52">
        <f>1+(1-捕魚機!$B$5)*B759+捕魚機!$B$5*B758</f>
        <v/>
      </c>
    </row>
    <row r="761">
      <c r="A761" s="5" t="n">
        <v>759</v>
      </c>
      <c r="B761" s="52">
        <f>1+(1-捕魚機!$B$5)*B760+捕魚機!$B$5*B759</f>
        <v/>
      </c>
    </row>
    <row r="762">
      <c r="A762" s="5" t="n">
        <v>760</v>
      </c>
      <c r="B762" s="52">
        <f>1+(1-捕魚機!$B$5)*B761+捕魚機!$B$5*B760</f>
        <v/>
      </c>
    </row>
    <row r="763">
      <c r="A763" s="5" t="n">
        <v>761</v>
      </c>
      <c r="B763" s="52">
        <f>1+(1-捕魚機!$B$5)*B762+捕魚機!$B$5*B761</f>
        <v/>
      </c>
    </row>
    <row r="764">
      <c r="A764" s="5" t="n">
        <v>762</v>
      </c>
      <c r="B764" s="52">
        <f>1+(1-捕魚機!$B$5)*B763+捕魚機!$B$5*B762</f>
        <v/>
      </c>
    </row>
    <row r="765">
      <c r="A765" s="5" t="n">
        <v>763</v>
      </c>
      <c r="B765" s="52">
        <f>1+(1-捕魚機!$B$5)*B764+捕魚機!$B$5*B763</f>
        <v/>
      </c>
    </row>
    <row r="766">
      <c r="A766" s="5" t="n">
        <v>764</v>
      </c>
      <c r="B766" s="52">
        <f>1+(1-捕魚機!$B$5)*B765+捕魚機!$B$5*B764</f>
        <v/>
      </c>
    </row>
    <row r="767">
      <c r="A767" s="5" t="n">
        <v>765</v>
      </c>
      <c r="B767" s="52">
        <f>1+(1-捕魚機!$B$5)*B766+捕魚機!$B$5*B765</f>
        <v/>
      </c>
    </row>
    <row r="768">
      <c r="A768" s="5" t="n">
        <v>766</v>
      </c>
      <c r="B768" s="52">
        <f>1+(1-捕魚機!$B$5)*B767+捕魚機!$B$5*B766</f>
        <v/>
      </c>
    </row>
    <row r="769">
      <c r="A769" s="5" t="n">
        <v>767</v>
      </c>
      <c r="B769" s="52">
        <f>1+(1-捕魚機!$B$5)*B768+捕魚機!$B$5*B767</f>
        <v/>
      </c>
    </row>
    <row r="770">
      <c r="A770" s="5" t="n">
        <v>768</v>
      </c>
      <c r="B770" s="52">
        <f>1+(1-捕魚機!$B$5)*B769+捕魚機!$B$5*B768</f>
        <v/>
      </c>
    </row>
    <row r="771">
      <c r="A771" s="5" t="n">
        <v>769</v>
      </c>
      <c r="B771" s="52">
        <f>1+(1-捕魚機!$B$5)*B770+捕魚機!$B$5*B769</f>
        <v/>
      </c>
    </row>
    <row r="772">
      <c r="A772" s="5" t="n">
        <v>770</v>
      </c>
      <c r="B772" s="52">
        <f>1+(1-捕魚機!$B$5)*B771+捕魚機!$B$5*B770</f>
        <v/>
      </c>
    </row>
    <row r="773">
      <c r="A773" s="5" t="n">
        <v>771</v>
      </c>
      <c r="B773" s="52">
        <f>1+(1-捕魚機!$B$5)*B772+捕魚機!$B$5*B771</f>
        <v/>
      </c>
    </row>
    <row r="774">
      <c r="A774" s="5" t="n">
        <v>772</v>
      </c>
      <c r="B774" s="52">
        <f>1+(1-捕魚機!$B$5)*B773+捕魚機!$B$5*B772</f>
        <v/>
      </c>
    </row>
    <row r="775">
      <c r="A775" s="5" t="n">
        <v>773</v>
      </c>
      <c r="B775" s="52">
        <f>1+(1-捕魚機!$B$5)*B774+捕魚機!$B$5*B773</f>
        <v/>
      </c>
    </row>
    <row r="776">
      <c r="A776" s="5" t="n">
        <v>774</v>
      </c>
      <c r="B776" s="52">
        <f>1+(1-捕魚機!$B$5)*B775+捕魚機!$B$5*B774</f>
        <v/>
      </c>
    </row>
    <row r="777">
      <c r="A777" s="5" t="n">
        <v>775</v>
      </c>
      <c r="B777" s="52">
        <f>1+(1-捕魚機!$B$5)*B776+捕魚機!$B$5*B775</f>
        <v/>
      </c>
    </row>
    <row r="778">
      <c r="A778" s="5" t="n">
        <v>776</v>
      </c>
      <c r="B778" s="52">
        <f>1+(1-捕魚機!$B$5)*B777+捕魚機!$B$5*B776</f>
        <v/>
      </c>
    </row>
    <row r="779">
      <c r="A779" s="5" t="n">
        <v>777</v>
      </c>
      <c r="B779" s="52">
        <f>1+(1-捕魚機!$B$5)*B778+捕魚機!$B$5*B777</f>
        <v/>
      </c>
    </row>
    <row r="780">
      <c r="A780" s="5" t="n">
        <v>778</v>
      </c>
      <c r="B780" s="52">
        <f>1+(1-捕魚機!$B$5)*B779+捕魚機!$B$5*B778</f>
        <v/>
      </c>
    </row>
    <row r="781">
      <c r="A781" s="5" t="n">
        <v>779</v>
      </c>
      <c r="B781" s="52">
        <f>1+(1-捕魚機!$B$5)*B780+捕魚機!$B$5*B779</f>
        <v/>
      </c>
    </row>
    <row r="782">
      <c r="A782" s="5" t="n">
        <v>780</v>
      </c>
      <c r="B782" s="52">
        <f>1+(1-捕魚機!$B$5)*B781+捕魚機!$B$5*B780</f>
        <v/>
      </c>
    </row>
    <row r="783">
      <c r="A783" s="5" t="n">
        <v>781</v>
      </c>
      <c r="B783" s="52">
        <f>1+(1-捕魚機!$B$5)*B782+捕魚機!$B$5*B781</f>
        <v/>
      </c>
    </row>
    <row r="784">
      <c r="A784" s="5" t="n">
        <v>782</v>
      </c>
      <c r="B784" s="52">
        <f>1+(1-捕魚機!$B$5)*B783+捕魚機!$B$5*B782</f>
        <v/>
      </c>
    </row>
    <row r="785">
      <c r="A785" s="5" t="n">
        <v>783</v>
      </c>
      <c r="B785" s="52">
        <f>1+(1-捕魚機!$B$5)*B784+捕魚機!$B$5*B783</f>
        <v/>
      </c>
    </row>
    <row r="786">
      <c r="A786" s="5" t="n">
        <v>784</v>
      </c>
      <c r="B786" s="52">
        <f>1+(1-捕魚機!$B$5)*B785+捕魚機!$B$5*B784</f>
        <v/>
      </c>
    </row>
    <row r="787">
      <c r="A787" s="5" t="n">
        <v>785</v>
      </c>
      <c r="B787" s="52">
        <f>1+(1-捕魚機!$B$5)*B786+捕魚機!$B$5*B785</f>
        <v/>
      </c>
    </row>
    <row r="788">
      <c r="A788" s="5" t="n">
        <v>786</v>
      </c>
      <c r="B788" s="52">
        <f>1+(1-捕魚機!$B$5)*B787+捕魚機!$B$5*B786</f>
        <v/>
      </c>
    </row>
    <row r="789">
      <c r="A789" s="5" t="n">
        <v>787</v>
      </c>
      <c r="B789" s="52">
        <f>1+(1-捕魚機!$B$5)*B788+捕魚機!$B$5*B787</f>
        <v/>
      </c>
    </row>
    <row r="790">
      <c r="A790" s="5" t="n">
        <v>788</v>
      </c>
      <c r="B790" s="52">
        <f>1+(1-捕魚機!$B$5)*B789+捕魚機!$B$5*B788</f>
        <v/>
      </c>
    </row>
    <row r="791">
      <c r="A791" s="5" t="n">
        <v>789</v>
      </c>
      <c r="B791" s="52">
        <f>1+(1-捕魚機!$B$5)*B790+捕魚機!$B$5*B789</f>
        <v/>
      </c>
    </row>
    <row r="792">
      <c r="A792" s="5" t="n">
        <v>790</v>
      </c>
      <c r="B792" s="52">
        <f>1+(1-捕魚機!$B$5)*B791+捕魚機!$B$5*B790</f>
        <v/>
      </c>
    </row>
    <row r="793">
      <c r="A793" s="5" t="n">
        <v>791</v>
      </c>
      <c r="B793" s="52">
        <f>1+(1-捕魚機!$B$5)*B792+捕魚機!$B$5*B791</f>
        <v/>
      </c>
    </row>
    <row r="794">
      <c r="A794" s="5" t="n">
        <v>792</v>
      </c>
      <c r="B794" s="52">
        <f>1+(1-捕魚機!$B$5)*B793+捕魚機!$B$5*B792</f>
        <v/>
      </c>
    </row>
    <row r="795">
      <c r="A795" s="5" t="n">
        <v>793</v>
      </c>
      <c r="B795" s="52">
        <f>1+(1-捕魚機!$B$5)*B794+捕魚機!$B$5*B793</f>
        <v/>
      </c>
    </row>
    <row r="796">
      <c r="A796" s="5" t="n">
        <v>794</v>
      </c>
      <c r="B796" s="52">
        <f>1+(1-捕魚機!$B$5)*B795+捕魚機!$B$5*B794</f>
        <v/>
      </c>
    </row>
    <row r="797">
      <c r="A797" s="5" t="n">
        <v>795</v>
      </c>
      <c r="B797" s="52">
        <f>1+(1-捕魚機!$B$5)*B796+捕魚機!$B$5*B795</f>
        <v/>
      </c>
    </row>
    <row r="798">
      <c r="A798" s="5" t="n">
        <v>796</v>
      </c>
      <c r="B798" s="52">
        <f>1+(1-捕魚機!$B$5)*B797+捕魚機!$B$5*B796</f>
        <v/>
      </c>
    </row>
    <row r="799">
      <c r="A799" s="5" t="n">
        <v>797</v>
      </c>
      <c r="B799" s="52">
        <f>1+(1-捕魚機!$B$5)*B798+捕魚機!$B$5*B797</f>
        <v/>
      </c>
    </row>
    <row r="800">
      <c r="A800" s="5" t="n">
        <v>798</v>
      </c>
      <c r="B800" s="52">
        <f>1+(1-捕魚機!$B$5)*B799+捕魚機!$B$5*B798</f>
        <v/>
      </c>
    </row>
    <row r="801">
      <c r="A801" s="5" t="n">
        <v>799</v>
      </c>
      <c r="B801" s="52">
        <f>1+(1-捕魚機!$B$5)*B800+捕魚機!$B$5*B799</f>
        <v/>
      </c>
    </row>
    <row r="802">
      <c r="A802" s="5" t="n">
        <v>800</v>
      </c>
      <c r="B802" s="52">
        <f>1+(1-捕魚機!$B$5)*B801+捕魚機!$B$5*B800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4" customWidth="1" style="35" min="1" max="1"/>
    <col width="11" customWidth="1" style="35" min="2" max="2"/>
    <col width="9" customWidth="1" style="35" min="3" max="4"/>
    <col width="12" customWidth="1" style="35" min="5" max="6"/>
    <col width="11" customWidth="1" style="35" min="7" max="9"/>
    <col width="30" customWidth="1" style="35" min="10" max="10"/>
  </cols>
  <sheetData>
    <row r="1" ht="25.95" customHeight="1" s="35">
      <c r="A1" s="34" t="inlineStr">
        <is>
          <t>捕魚機 RTP 模型（反解 pCapture + 殘血回收體感RTP）— 改 B4/B13/B30 自動重算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3" t="n"/>
    </row>
    <row r="3">
      <c r="A3" s="38" t="inlineStr">
        <is>
          <t>參數</t>
        </is>
      </c>
      <c r="B3" s="38" t="inlineStr">
        <is>
          <t>值</t>
        </is>
      </c>
      <c r="C3" s="41" t="inlineStr">
        <is>
          <t>說明</t>
        </is>
      </c>
      <c r="D3" s="46" t="n"/>
      <c r="E3" s="46" t="n"/>
      <c r="F3" s="46" t="n"/>
      <c r="G3" s="46" t="n"/>
      <c r="H3" s="46" t="n"/>
      <c r="I3" s="46" t="n"/>
      <c r="J3" s="43" t="n"/>
    </row>
    <row r="4" ht="27.6" customHeight="1" s="35">
      <c r="A4" s="40" t="inlineStr">
        <is>
          <t>TARGET_RTP（設計值）</t>
        </is>
      </c>
      <c r="B4" s="18" t="n">
        <v>0.96</v>
      </c>
      <c r="C4" s="36" t="inlineStr">
        <is>
          <t>每發子彈期望回報＝體感天花板</t>
        </is>
      </c>
      <c r="D4" s="46" t="n"/>
      <c r="E4" s="46" t="n"/>
      <c r="F4" s="46" t="n"/>
      <c r="G4" s="46" t="n"/>
      <c r="H4" s="46" t="n"/>
      <c r="I4" s="46" t="n"/>
      <c r="J4" s="43" t="n"/>
    </row>
    <row r="5" ht="27.6" customHeight="1" s="35">
      <c r="A5" s="40" t="inlineStr">
        <is>
          <t>CRIT_CHANCE 暴擊率</t>
        </is>
      </c>
      <c r="B5" s="18" t="n">
        <v>0.2</v>
      </c>
      <c r="C5" s="36" t="inlineStr">
        <is>
          <t>暴擊則傷害×倍率</t>
        </is>
      </c>
      <c r="D5" s="46" t="n"/>
      <c r="E5" s="46" t="n"/>
      <c r="F5" s="46" t="n"/>
      <c r="G5" s="46" t="n"/>
      <c r="H5" s="46" t="n"/>
      <c r="I5" s="46" t="n"/>
      <c r="J5" s="43" t="n"/>
    </row>
    <row r="6" ht="27.6" customHeight="1" s="35">
      <c r="A6" s="40" t="inlineStr">
        <is>
          <t>CRIT_MULT 暴擊倍率</t>
        </is>
      </c>
      <c r="B6" s="19" t="n">
        <v>2</v>
      </c>
      <c r="C6" s="36" t="n"/>
      <c r="D6" s="46" t="n"/>
      <c r="E6" s="46" t="n"/>
      <c r="F6" s="46" t="n"/>
      <c r="G6" s="46" t="n"/>
      <c r="H6" s="46" t="n"/>
      <c r="I6" s="46" t="n"/>
      <c r="J6" s="43" t="n"/>
    </row>
    <row r="7">
      <c r="A7" s="40" t="inlineStr">
        <is>
          <t>critFactor</t>
        </is>
      </c>
      <c r="B7" s="53">
        <f>1+B5*(B6-1)</f>
        <v/>
      </c>
      <c r="C7" s="36" t="inlineStr">
        <is>
          <t>1+暴擊率×(暴擊倍率−1)</t>
        </is>
      </c>
      <c r="D7" s="46" t="n"/>
      <c r="E7" s="46" t="n"/>
      <c r="F7" s="46" t="n"/>
      <c r="G7" s="46" t="n"/>
      <c r="H7" s="46" t="n"/>
      <c r="I7" s="46" t="n"/>
      <c r="J7" s="43" t="n"/>
    </row>
    <row r="8" ht="41.4" customHeight="1" s="35">
      <c r="A8" s="40" t="inlineStr">
        <is>
          <t>RECOVERY_RATE 殘血回收</t>
        </is>
      </c>
      <c r="B8" s="18" t="n">
        <v>0.7</v>
      </c>
      <c r="C8" s="36" t="inlineStr">
        <is>
          <t>受傷未死退還比例＝體感地板(ADR-004)</t>
        </is>
      </c>
      <c r="D8" s="46" t="n"/>
      <c r="E8" s="46" t="n"/>
      <c r="F8" s="46" t="n"/>
      <c r="G8" s="46" t="n"/>
      <c r="H8" s="46" t="n"/>
      <c r="I8" s="46" t="n"/>
      <c r="J8" s="43" t="n"/>
    </row>
    <row r="10">
      <c r="A10" s="40" t="inlineStr">
        <is>
          <t>砲台傷害</t>
        </is>
      </c>
      <c r="B10" s="6" t="n">
        <v>10</v>
      </c>
      <c r="C10" s="6" t="n">
        <v>14</v>
      </c>
      <c r="D10" s="6" t="n">
        <v>18</v>
      </c>
    </row>
    <row r="11">
      <c r="B11" s="21" t="inlineStr">
        <is>
          <t>銅 lv1</t>
        </is>
      </c>
      <c r="C11" s="21" t="inlineStr">
        <is>
          <t>銀 lv2</t>
        </is>
      </c>
      <c r="D11" s="21" t="inlineStr">
        <is>
          <t>金 lv3</t>
        </is>
      </c>
    </row>
    <row r="12" ht="27.6" customHeight="1" s="35">
      <c r="A12" s="40" t="inlineStr">
        <is>
          <t>選用砲台 lv(1-3)</t>
        </is>
      </c>
      <c r="B12" s="22" t="n">
        <v>1</v>
      </c>
    </row>
    <row r="13">
      <c r="A13" s="40" t="inlineStr">
        <is>
          <t>選用基礎傷害</t>
        </is>
      </c>
      <c r="B13" s="23">
        <f>INDEX(B10:D10,1,B12)</f>
        <v/>
      </c>
    </row>
    <row r="15" ht="30" customHeight="1" s="35">
      <c r="A15" s="38" t="inlineStr">
        <is>
          <t>魚種</t>
        </is>
      </c>
      <c r="B15" s="38" t="inlineStr">
        <is>
          <t>倍率
mult</t>
        </is>
      </c>
      <c r="C15" s="38" t="inlineStr">
        <is>
          <t>血量
HP</t>
        </is>
      </c>
      <c r="D15" s="38" t="inlineStr">
        <is>
          <t>單位數
units</t>
        </is>
      </c>
      <c r="E15" s="38" t="inlineStr">
        <is>
          <t>E[N]
期望發數</t>
        </is>
      </c>
      <c r="F15" s="38" t="inlineStr">
        <is>
          <t>pCapture</t>
        </is>
      </c>
      <c r="G15" s="38" t="inlineStr">
        <is>
          <t>RTP驗證</t>
        </is>
      </c>
      <c r="H15" s="38" t="inlineStr">
        <is>
          <t>若銅炮
pCap</t>
        </is>
      </c>
      <c r="I15" s="38" t="inlineStr">
        <is>
          <t>若金炮
pCap</t>
        </is>
      </c>
      <c r="J15" s="38" t="inlineStr">
        <is>
          <t>捕獲倍率（變異）L4</t>
        </is>
      </c>
    </row>
    <row r="16">
      <c r="A16" s="2" t="inlineStr">
        <is>
          <t>錦鯉KOI</t>
        </is>
      </c>
      <c r="B16" s="6" t="n">
        <v>2</v>
      </c>
      <c r="C16" s="24">
        <f>B16*10</f>
        <v/>
      </c>
      <c r="D16" s="24">
        <f>CEILING(C16/$B$13,1)</f>
        <v/>
      </c>
      <c r="E16" s="25">
        <f>INDEX(_DP對照表!$B$2:$B$802,D16+1)</f>
        <v/>
      </c>
      <c r="F16" s="54">
        <f>MIN(1,$B$4*E16/B16)</f>
        <v/>
      </c>
      <c r="G16" s="55">
        <f>F16*B16/E16</f>
        <v/>
      </c>
      <c r="H16" s="56">
        <f>MIN(1,$B$4*INDEX(_DP對照表!$B$2:$B$802,CEILING(C16/$B$10,1)+1)/B16)</f>
        <v/>
      </c>
      <c r="I16" s="56">
        <f>MIN(1,$B$4*INDEX(_DP對照表!$B$2:$B$802,CEILING(C16/$D$10,1)+1)/B16)</f>
        <v/>
      </c>
      <c r="J16" s="36" t="inlineStr">
        <is>
          <t>2x 定額（捕獲派彩變異 0）</t>
        </is>
      </c>
    </row>
    <row r="17" ht="27.6" customHeight="1" s="35">
      <c r="A17" s="2" t="inlineStr">
        <is>
          <t>金魚GOLDFISH</t>
        </is>
      </c>
      <c r="B17" s="6" t="n">
        <v>3</v>
      </c>
      <c r="C17" s="24">
        <f>B17*10</f>
        <v/>
      </c>
      <c r="D17" s="24">
        <f>CEILING(C17/$B$13,1)</f>
        <v/>
      </c>
      <c r="E17" s="25">
        <f>INDEX(_DP對照表!$B$2:$B$802,D17+1)</f>
        <v/>
      </c>
      <c r="F17" s="54">
        <f>MIN(1,$B$4*E17/B17)</f>
        <v/>
      </c>
      <c r="G17" s="55">
        <f>F17*B17/E17</f>
        <v/>
      </c>
      <c r="H17" s="56">
        <f>MIN(1,$B$4*INDEX(_DP對照表!$B$2:$B$802,CEILING(C17/$B$10,1)+1)/B17)</f>
        <v/>
      </c>
      <c r="I17" s="56">
        <f>MIN(1,$B$4*INDEX(_DP對照表!$B$2:$B$802,CEILING(C17/$D$10,1)+1)/B17)</f>
        <v/>
      </c>
      <c r="J17" s="36" t="inlineStr">
        <is>
          <t>3x 定額（捕獲派彩變異 0）</t>
        </is>
      </c>
    </row>
    <row r="18" ht="27.6" customHeight="1" s="35">
      <c r="A18" s="2" t="inlineStr">
        <is>
          <t>燈籠魚LANTERN</t>
        </is>
      </c>
      <c r="B18" s="6" t="n">
        <v>5</v>
      </c>
      <c r="C18" s="24">
        <f>B18*10</f>
        <v/>
      </c>
      <c r="D18" s="24">
        <f>CEILING(C18/$B$13,1)</f>
        <v/>
      </c>
      <c r="E18" s="25">
        <f>INDEX(_DP對照表!$B$2:$B$802,D18+1)</f>
        <v/>
      </c>
      <c r="F18" s="54">
        <f>MIN(1,$B$4*E18/B18)</f>
        <v/>
      </c>
      <c r="G18" s="55">
        <f>F18*B18/E18</f>
        <v/>
      </c>
      <c r="H18" s="56">
        <f>MIN(1,$B$4*INDEX(_DP對照表!$B$2:$B$802,CEILING(C18/$B$10,1)+1)/B18)</f>
        <v/>
      </c>
      <c r="I18" s="56">
        <f>MIN(1,$B$4*INDEX(_DP對照表!$B$2:$B$802,CEILING(C18/$D$10,1)+1)/B18)</f>
        <v/>
      </c>
      <c r="J18" s="36" t="inlineStr">
        <is>
          <t>5x 定額（捕獲派彩變異 0）</t>
        </is>
      </c>
    </row>
    <row r="19">
      <c r="A19" s="2" t="inlineStr">
        <is>
          <t>河豚PUFFER</t>
        </is>
      </c>
      <c r="B19" s="6" t="n">
        <v>8</v>
      </c>
      <c r="C19" s="24">
        <f>B19*10</f>
        <v/>
      </c>
      <c r="D19" s="24">
        <f>CEILING(C19/$B$13,1)</f>
        <v/>
      </c>
      <c r="E19" s="25">
        <f>INDEX(_DP對照表!$B$2:$B$802,D19+1)</f>
        <v/>
      </c>
      <c r="F19" s="54">
        <f>MIN(1,$B$4*E19/B19)</f>
        <v/>
      </c>
      <c r="G19" s="55">
        <f>F19*B19/E19</f>
        <v/>
      </c>
      <c r="H19" s="56">
        <f>MIN(1,$B$4*INDEX(_DP對照表!$B$2:$B$802,CEILING(C19/$B$10,1)+1)/B19)</f>
        <v/>
      </c>
      <c r="I19" s="56">
        <f>MIN(1,$B$4*INDEX(_DP對照表!$B$2:$B$802,CEILING(C19/$D$10,1)+1)/B19)</f>
        <v/>
      </c>
      <c r="J19" s="36" t="inlineStr">
        <is>
          <t>8x 定額（捕獲派彩變異 0）</t>
        </is>
      </c>
    </row>
    <row r="20" ht="27.6" customHeight="1" s="35">
      <c r="A20" s="2" t="inlineStr">
        <is>
          <t>神仙魚ANGELFISH</t>
        </is>
      </c>
      <c r="B20" s="6" t="n">
        <v>15</v>
      </c>
      <c r="C20" s="24">
        <f>B20*10</f>
        <v/>
      </c>
      <c r="D20" s="24">
        <f>CEILING(C20/$B$13,1)</f>
        <v/>
      </c>
      <c r="E20" s="25">
        <f>INDEX(_DP對照表!$B$2:$B$802,D20+1)</f>
        <v/>
      </c>
      <c r="F20" s="54">
        <f>MIN(1,$B$4*E20/B20)</f>
        <v/>
      </c>
      <c r="G20" s="55">
        <f>F20*B20/E20</f>
        <v/>
      </c>
      <c r="H20" s="56">
        <f>MIN(1,$B$4*INDEX(_DP對照表!$B$2:$B$802,CEILING(C20/$B$10,1)+1)/B20)</f>
        <v/>
      </c>
      <c r="I20" s="56">
        <f>MIN(1,$B$4*INDEX(_DP對照表!$B$2:$B$802,CEILING(C20/$D$10,1)+1)/B20)</f>
        <v/>
      </c>
      <c r="J20" s="36" t="inlineStr">
        <is>
          <t>15x 定額（捕獲派彩變異 0）</t>
        </is>
      </c>
    </row>
    <row r="21" ht="27.6" customHeight="1" s="35">
      <c r="A21" s="2" t="inlineStr">
        <is>
          <t>魔鬼魚DEVIL_RAY</t>
        </is>
      </c>
      <c r="B21" s="6" t="n">
        <v>25</v>
      </c>
      <c r="C21" s="24">
        <f>B21*10</f>
        <v/>
      </c>
      <c r="D21" s="24">
        <f>CEILING(C21/$B$13,1)</f>
        <v/>
      </c>
      <c r="E21" s="25">
        <f>INDEX(_DP對照表!$B$2:$B$802,D21+1)</f>
        <v/>
      </c>
      <c r="F21" s="54">
        <f>MIN(1,$B$4*E21/B21)</f>
        <v/>
      </c>
      <c r="G21" s="55">
        <f>F21*B21/E21</f>
        <v/>
      </c>
      <c r="H21" s="56">
        <f>MIN(1,$B$4*INDEX(_DP對照表!$B$2:$B$802,CEILING(C21/$B$10,1)+1)/B21)</f>
        <v/>
      </c>
      <c r="I21" s="56">
        <f>MIN(1,$B$4*INDEX(_DP對照表!$B$2:$B$802,CEILING(C21/$D$10,1)+1)/B21)</f>
        <v/>
      </c>
      <c r="J21" s="36" t="inlineStr">
        <is>
          <t>25x 定額（捕獲派彩變異 0）</t>
        </is>
      </c>
    </row>
    <row r="22" ht="41.4" customHeight="1" s="35">
      <c r="A22" s="2" t="inlineStr">
        <is>
          <t>金龍GOLD_DRAGON</t>
        </is>
      </c>
      <c r="B22" s="6" t="n">
        <v>60</v>
      </c>
      <c r="C22" s="24">
        <f>B22*10</f>
        <v/>
      </c>
      <c r="D22" s="24">
        <f>CEILING(C22/$B$13,1)</f>
        <v/>
      </c>
      <c r="E22" s="25">
        <f>INDEX(_DP對照表!$B$2:$B$802,D22+1)</f>
        <v/>
      </c>
      <c r="F22" s="54">
        <f>MIN(1,$B$4*E22/B22)</f>
        <v/>
      </c>
      <c r="G22" s="55">
        <f>F22*B22/E22</f>
        <v/>
      </c>
      <c r="H22" s="56">
        <f>MIN(1,$B$4*INDEX(_DP對照表!$B$2:$B$802,CEILING(C22/$B$10,1)+1)/B22)</f>
        <v/>
      </c>
      <c r="I22" s="56">
        <f>MIN(1,$B$4*INDEX(_DP對照表!$B$2:$B$802,CEILING(C22/$D$10,1)+1)/B22)</f>
        <v/>
      </c>
      <c r="J22" s="36" t="inlineStr">
        <is>
          <t>60x 定額（捕獲派彩變異 0）</t>
        </is>
      </c>
    </row>
    <row r="23">
      <c r="A23" s="2" t="inlineStr">
        <is>
          <t>貔貅PIXIU</t>
        </is>
      </c>
      <c r="B23" s="6" t="n">
        <v>88</v>
      </c>
      <c r="C23" s="24">
        <f>B23*10</f>
        <v/>
      </c>
      <c r="D23" s="24">
        <f>CEILING(C23/$B$13,1)</f>
        <v/>
      </c>
      <c r="E23" s="25">
        <f>INDEX(_DP對照表!$B$2:$B$802,D23+1)</f>
        <v/>
      </c>
      <c r="F23" s="54">
        <f>MIN(1,$B$4*E23/B23)</f>
        <v/>
      </c>
      <c r="G23" s="55">
        <f>F23*B23/E23</f>
        <v/>
      </c>
      <c r="H23" s="56">
        <f>MIN(1,$B$4*INDEX(_DP對照表!$B$2:$B$802,CEILING(C23/$B$10,1)+1)/B23)</f>
        <v/>
      </c>
      <c r="I23" s="56">
        <f>MIN(1,$B$4*INDEX(_DP對照表!$B$2:$B$802,CEILING(C23/$D$10,1)+1)/B23)</f>
        <v/>
      </c>
      <c r="J23" s="36" t="inlineStr">
        <is>
          <t>88x 定額（捕獲派彩變異 0）</t>
        </is>
      </c>
    </row>
    <row r="24" ht="27.6" customHeight="1" s="35">
      <c r="A24" s="2" t="inlineStr">
        <is>
          <t>財神CAISHEN</t>
        </is>
      </c>
      <c r="B24" s="6" t="n">
        <v>100</v>
      </c>
      <c r="C24" s="24">
        <f>B24*10</f>
        <v/>
      </c>
      <c r="D24" s="24">
        <f>CEILING(C24/$B$13,1)</f>
        <v/>
      </c>
      <c r="E24" s="25">
        <f>INDEX(_DP對照表!$B$2:$B$802,D24+1)</f>
        <v/>
      </c>
      <c r="F24" s="54">
        <f>MIN(1,$B$4*E24/B24)</f>
        <v/>
      </c>
      <c r="G24" s="55">
        <f>F24*B24/E24</f>
        <v/>
      </c>
      <c r="H24" s="56">
        <f>MIN(1,$B$4*INDEX(_DP對照表!$B$2:$B$802,CEILING(C24/$B$10,1)+1)/B24)</f>
        <v/>
      </c>
      <c r="I24" s="56">
        <f>MIN(1,$B$4*INDEX(_DP對照表!$B$2:$B$802,CEILING(C24/$D$10,1)+1)/B24)</f>
        <v/>
      </c>
      <c r="J24" s="36" t="inlineStr">
        <is>
          <t>100x 定額（捕獲派彩變異 0）</t>
        </is>
      </c>
    </row>
    <row r="25" ht="41.4" customHeight="1" s="35">
      <c r="A25" s="2" t="inlineStr">
        <is>
          <t>龍王DRAGON_KING</t>
        </is>
      </c>
      <c r="B25" s="6" t="n">
        <v>200</v>
      </c>
      <c r="C25" s="24">
        <f>B25*10</f>
        <v/>
      </c>
      <c r="D25" s="24">
        <f>CEILING(C25/$B$13,1)</f>
        <v/>
      </c>
      <c r="E25" s="25">
        <f>INDEX(_DP對照表!$B$2:$B$802,D25+1)</f>
        <v/>
      </c>
      <c r="F25" s="54">
        <f>MIN(1,$B$4*E25/B25)</f>
        <v/>
      </c>
      <c r="G25" s="55">
        <f>F25*B25/E25</f>
        <v/>
      </c>
      <c r="H25" s="56">
        <f>MIN(1,$B$4*INDEX(_DP對照表!$B$2:$B$802,CEILING(C25/$B$10,1)+1)/B25)</f>
        <v/>
      </c>
      <c r="I25" s="56">
        <f>MIN(1,$B$4*INDEX(_DP對照表!$B$2:$B$802,CEILING(C25/$D$10,1)+1)/B25)</f>
        <v/>
      </c>
      <c r="J25" s="36" t="inlineStr">
        <is>
          <t>200x 定額（捕獲派彩變異 0）</t>
        </is>
      </c>
    </row>
    <row r="26" ht="41.4" customHeight="1" s="35">
      <c r="A26" s="2" t="inlineStr">
        <is>
          <t>搖錢樹MONEY_TREE</t>
        </is>
      </c>
      <c r="B26" s="6" t="n">
        <v>30</v>
      </c>
      <c r="C26" s="24">
        <f>B26*10</f>
        <v/>
      </c>
      <c r="D26" s="24">
        <f>CEILING(C26/$B$13,1)</f>
        <v/>
      </c>
      <c r="E26" s="25">
        <f>INDEX(_DP對照表!$B$2:$B$802,D26+1)</f>
        <v/>
      </c>
      <c r="F26" s="54">
        <f>MIN(1,$B$4*E26/B26)</f>
        <v/>
      </c>
      <c r="G26" s="55">
        <f>F26*B26/E26</f>
        <v/>
      </c>
      <c r="H26" s="56">
        <f>MIN(1,$B$4*INDEX(_DP對照表!$B$2:$B$802,CEILING(C26/$B$10,1)+1)/B26)</f>
        <v/>
      </c>
      <c r="I26" s="56">
        <f>MIN(1,$B$4*INDEX(_DP對照表!$B$2:$B$802,CEILING(C26/$D$10,1)+1)/B26)</f>
        <v/>
      </c>
      <c r="J26" s="36" t="inlineStr">
        <is>
          <t>10~50隨機 期望30 SD≈11.83 ★高變異</t>
        </is>
      </c>
    </row>
    <row r="27">
      <c r="A27" s="36" t="inlineStr">
        <is>
          <t>反解證明：改 B4 → 全部 pCapture 等比重縮放，但『RTP驗證』恆=目標。L4：搖錢樹捕獲倍率均勻 10~50（期望30、SD=√140≈11.83），其餘魚為定額倍率。</t>
        </is>
      </c>
      <c r="B27" s="46" t="n"/>
      <c r="C27" s="46" t="n"/>
      <c r="D27" s="46" t="n"/>
      <c r="E27" s="46" t="n"/>
      <c r="F27" s="46" t="n"/>
      <c r="G27" s="46" t="n"/>
      <c r="H27" s="46" t="n"/>
      <c r="I27" s="46" t="n"/>
      <c r="J27" s="43" t="n"/>
    </row>
    <row r="29">
      <c r="A29" s="38" t="inlineStr">
        <is>
          <t>L1 體感RTP（殘血回收後，ADR-004）</t>
        </is>
      </c>
      <c r="B29" s="46" t="n"/>
      <c r="C29" s="43" t="n"/>
      <c r="D29" s="41" t="inlineStr">
        <is>
          <t>說明</t>
        </is>
      </c>
      <c r="E29" s="46" t="n"/>
      <c r="F29" s="46" t="n"/>
      <c r="G29" s="46" t="n"/>
      <c r="H29" s="46" t="n"/>
      <c r="I29" s="46" t="n"/>
      <c r="J29" s="43" t="n"/>
    </row>
    <row r="30">
      <c r="A30" s="40" t="inlineStr">
        <is>
          <t>完成率 q（打到死的子彈占比）</t>
        </is>
      </c>
      <c r="B30" s="29" t="n">
        <v>0.85</v>
      </c>
      <c r="C30" s="30" t="n"/>
      <c r="D30" s="36" t="inlineStr">
        <is>
          <t>玩家把鎖定魚打完的比例（行為，可改）</t>
        </is>
      </c>
      <c r="E30" s="46" t="n"/>
      <c r="F30" s="46" t="n"/>
      <c r="G30" s="46" t="n"/>
      <c r="H30" s="46" t="n"/>
      <c r="I30" s="46" t="n"/>
      <c r="J30" s="43" t="n"/>
    </row>
    <row r="31">
      <c r="A31" s="40" t="inlineStr">
        <is>
          <t>體感RTP = q·設計 +(1−q)·回收</t>
        </is>
      </c>
      <c r="B31" s="13">
        <f>B30*$B$4+(1-B30)*$B$8</f>
        <v/>
      </c>
      <c r="C31" s="30" t="n"/>
      <c r="D31" s="36" t="inlineStr">
        <is>
          <t>完成的子彈→設計RTP；游走的子彈→只拿回收率</t>
        </is>
      </c>
      <c r="E31" s="46" t="n"/>
      <c r="F31" s="46" t="n"/>
      <c r="G31" s="46" t="n"/>
      <c r="H31" s="46" t="n"/>
      <c r="I31" s="46" t="n"/>
      <c r="J31" s="43" t="n"/>
    </row>
    <row r="32">
      <c r="A32" s="40" t="inlineStr">
        <is>
          <t>地板（q=0，全游走）</t>
        </is>
      </c>
      <c r="B32" s="31">
        <f>B8</f>
        <v/>
      </c>
      <c r="C32" s="30" t="n"/>
      <c r="D32" s="36">
        <f>RECOVERY_RATE</f>
        <v/>
      </c>
      <c r="E32" s="46" t="n"/>
      <c r="F32" s="46" t="n"/>
      <c r="G32" s="46" t="n"/>
      <c r="H32" s="46" t="n"/>
      <c r="I32" s="46" t="n"/>
      <c r="J32" s="43" t="n"/>
    </row>
    <row r="33">
      <c r="A33" s="40" t="inlineStr">
        <is>
          <t>天花板（q=1，全打死）</t>
        </is>
      </c>
      <c r="B33" s="31">
        <f>B4</f>
        <v/>
      </c>
      <c r="C33" s="30" t="n"/>
      <c r="D33" s="36">
        <f>TARGET_RTP</f>
        <v/>
      </c>
      <c r="E33" s="46" t="n"/>
      <c r="F33" s="46" t="n"/>
      <c r="G33" s="46" t="n"/>
      <c r="H33" s="46" t="n"/>
      <c r="I33" s="46" t="n"/>
      <c r="J33" s="43" t="n"/>
    </row>
  </sheetData>
  <mergeCells count="18">
    <mergeCell ref="C4:J4"/>
    <mergeCell ref="A31"/>
    <mergeCell ref="D32:J32"/>
    <mergeCell ref="C3:J3"/>
    <mergeCell ref="A1:J1"/>
    <mergeCell ref="D31:J31"/>
    <mergeCell ref="C7:J7"/>
    <mergeCell ref="A30"/>
    <mergeCell ref="A27:J27"/>
    <mergeCell ref="C6:J6"/>
    <mergeCell ref="D33:J33"/>
    <mergeCell ref="D30:J30"/>
    <mergeCell ref="C5:J5"/>
    <mergeCell ref="A29:C29"/>
    <mergeCell ref="A33"/>
    <mergeCell ref="D29:J29"/>
    <mergeCell ref="C8:J8"/>
    <mergeCell ref="A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22" customWidth="1" style="35" min="1" max="1"/>
    <col width="13" customWidth="1" style="35" min="2" max="2"/>
    <col width="13" customWidth="1" style="35" min="3" max="3"/>
    <col width="12" customWidth="1" style="35" min="4" max="4"/>
    <col width="12" customWidth="1" style="35" min="5" max="5"/>
    <col width="13" customWidth="1" style="35" min="6" max="6"/>
  </cols>
  <sheetData>
    <row r="1">
      <c r="A1" s="57" t="inlineStr">
        <is>
          <t>百家樂 RTP 模型（無限靴 · 莊5%傭金 · 和8:1 · 和局push · 每局反水0.5%）— 改黃底參數自動重算</t>
        </is>
      </c>
    </row>
    <row r="3">
      <c r="A3" s="58" t="inlineStr">
        <is>
          <t>① 牌值分布（無限靴：每張牌獨立均勻抽 13 面）</t>
        </is>
      </c>
    </row>
    <row r="4">
      <c r="A4" s="59" t="inlineStr">
        <is>
          <t>值 v</t>
        </is>
      </c>
      <c r="B4" s="59" t="inlineStr">
        <is>
          <t>牌面</t>
        </is>
      </c>
      <c r="C4" s="59" t="inlineStr">
        <is>
          <t>張數/13</t>
        </is>
      </c>
      <c r="D4" s="59" t="inlineStr">
        <is>
          <t>機率 pᵥ</t>
        </is>
      </c>
    </row>
    <row r="5">
      <c r="A5" s="60" t="n">
        <v>0</v>
      </c>
      <c r="B5" s="60" t="inlineStr">
        <is>
          <t>10/J/Q/K</t>
        </is>
      </c>
      <c r="C5" s="61" t="n">
        <v>4</v>
      </c>
      <c r="D5" s="62">
        <f>C5/13</f>
        <v/>
      </c>
    </row>
    <row r="6">
      <c r="A6" s="60" t="n">
        <v>1</v>
      </c>
      <c r="B6" s="60" t="inlineStr">
        <is>
          <t>A</t>
        </is>
      </c>
      <c r="C6" s="61" t="n">
        <v>1</v>
      </c>
      <c r="D6" s="62">
        <f>C6/13</f>
        <v/>
      </c>
    </row>
    <row r="7">
      <c r="A7" s="60" t="n">
        <v>2</v>
      </c>
      <c r="B7" s="60" t="inlineStr">
        <is>
          <t>2</t>
        </is>
      </c>
      <c r="C7" s="61" t="n">
        <v>1</v>
      </c>
      <c r="D7" s="62">
        <f>C7/13</f>
        <v/>
      </c>
    </row>
    <row r="8">
      <c r="A8" s="60" t="n">
        <v>3</v>
      </c>
      <c r="B8" s="60" t="inlineStr">
        <is>
          <t>3</t>
        </is>
      </c>
      <c r="C8" s="61" t="n">
        <v>1</v>
      </c>
      <c r="D8" s="62">
        <f>C8/13</f>
        <v/>
      </c>
    </row>
    <row r="9">
      <c r="A9" s="60" t="n">
        <v>4</v>
      </c>
      <c r="B9" s="60" t="inlineStr">
        <is>
          <t>4</t>
        </is>
      </c>
      <c r="C9" s="61" t="n">
        <v>1</v>
      </c>
      <c r="D9" s="62">
        <f>C9/13</f>
        <v/>
      </c>
    </row>
    <row r="10">
      <c r="A10" s="60" t="n">
        <v>5</v>
      </c>
      <c r="B10" s="60" t="inlineStr">
        <is>
          <t>5</t>
        </is>
      </c>
      <c r="C10" s="61" t="n">
        <v>1</v>
      </c>
      <c r="D10" s="62">
        <f>C10/13</f>
        <v/>
      </c>
    </row>
    <row r="11">
      <c r="A11" s="60" t="n">
        <v>6</v>
      </c>
      <c r="B11" s="60" t="inlineStr">
        <is>
          <t>6</t>
        </is>
      </c>
      <c r="C11" s="61" t="n">
        <v>1</v>
      </c>
      <c r="D11" s="62">
        <f>C11/13</f>
        <v/>
      </c>
    </row>
    <row r="12">
      <c r="A12" s="60" t="n">
        <v>7</v>
      </c>
      <c r="B12" s="60" t="inlineStr">
        <is>
          <t>7</t>
        </is>
      </c>
      <c r="C12" s="61" t="n">
        <v>1</v>
      </c>
      <c r="D12" s="62">
        <f>C12/13</f>
        <v/>
      </c>
    </row>
    <row r="13">
      <c r="A13" s="60" t="n">
        <v>8</v>
      </c>
      <c r="B13" s="60" t="inlineStr">
        <is>
          <t>8</t>
        </is>
      </c>
      <c r="C13" s="61" t="n">
        <v>1</v>
      </c>
      <c r="D13" s="62">
        <f>C13/13</f>
        <v/>
      </c>
    </row>
    <row r="14">
      <c r="A14" s="60" t="n">
        <v>9</v>
      </c>
      <c r="B14" s="60" t="inlineStr">
        <is>
          <t>9</t>
        </is>
      </c>
      <c r="C14" s="61" t="n">
        <v>1</v>
      </c>
      <c r="D14" s="62">
        <f>C14/13</f>
        <v/>
      </c>
    </row>
    <row r="15">
      <c r="A15" s="63" t="inlineStr">
        <is>
          <t>Σ</t>
        </is>
      </c>
      <c r="C15" s="64">
        <f>SUM(C5:C14)</f>
        <v/>
      </c>
      <c r="D15" s="62">
        <f>SUM(D5:D14)</f>
        <v/>
      </c>
      <c r="E15" s="65" t="inlineStr">
        <is>
          <t>←應=13 / 1.0</t>
        </is>
      </c>
    </row>
    <row r="17">
      <c r="A17" s="58" t="inlineStr">
        <is>
          <t>② 結果機率（獨立枚舉，鏡像 BaccaratGameService 補牌規則）</t>
        </is>
      </c>
    </row>
    <row r="18">
      <c r="A18" s="59" t="inlineStr">
        <is>
          <t>結果</t>
        </is>
      </c>
      <c r="B18" s="59" t="inlineStr">
        <is>
          <t>機率</t>
        </is>
      </c>
      <c r="C18" s="59" t="inlineStr">
        <is>
          <t>說明</t>
        </is>
      </c>
    </row>
    <row r="19">
      <c r="A19" s="66" t="inlineStr">
        <is>
          <t>莊 BANKER</t>
        </is>
      </c>
      <c r="B19" s="67" t="n">
        <v>0.458427917906012</v>
      </c>
      <c r="C19" s="68" t="inlineStr">
        <is>
          <t>莊後手，看閒第三張才決定補牌（資訊優勢）</t>
        </is>
      </c>
    </row>
    <row r="20">
      <c r="A20" s="66" t="inlineStr">
        <is>
          <t>閒 PLAYER</t>
        </is>
      </c>
      <c r="B20" s="67" t="n">
        <v>0.4461465121159756</v>
      </c>
      <c r="C20" s="68" t="inlineStr">
        <is>
          <t>閒 0~5 補、6~7 停</t>
        </is>
      </c>
    </row>
    <row r="21">
      <c r="A21" s="66" t="inlineStr">
        <is>
          <t>和 TIE</t>
        </is>
      </c>
      <c r="B21" s="67" t="n">
        <v>0.0954255699780124</v>
      </c>
      <c r="C21" s="68" t="inlineStr">
        <is>
          <t>莊閒同點；押和 8:1、押莊閒退本金</t>
        </is>
      </c>
    </row>
    <row r="22">
      <c r="A22" s="63" t="inlineStr">
        <is>
          <t>合計</t>
        </is>
      </c>
      <c r="B22" s="69">
        <f>SUM(B19:B21)</f>
        <v/>
      </c>
      <c r="C22" s="65" t="inlineStr">
        <is>
          <t>←驗證=1（枚舉完整無漏）</t>
        </is>
      </c>
    </row>
    <row r="23">
      <c r="A23" s="68" t="inlineStr">
        <is>
          <t>註：無限靴精確值，與 8 副靴表(莊0.4586/閒0.4462/和0.0952)差在小數第4位＝牌堆有限性；後端 Javadoc 明載採無限靴，故模型用此組才叫鏡像程式碼。</t>
        </is>
      </c>
    </row>
    <row r="25">
      <c r="A25" s="58" t="inlineStr">
        <is>
          <t>③ 賠付與反水參數（可改）</t>
        </is>
      </c>
    </row>
    <row r="26">
      <c r="A26" s="66" t="inlineStr">
        <is>
          <t>莊贏傭金率</t>
        </is>
      </c>
      <c r="B26" s="70" t="n">
        <v>0.05</v>
      </c>
      <c r="C26" s="68" t="inlineStr">
        <is>
          <t>莊贏派彩扣 5%</t>
        </is>
      </c>
    </row>
    <row r="27">
      <c r="A27" s="66" t="inlineStr">
        <is>
          <t>和賠率（:1）</t>
        </is>
      </c>
      <c r="B27" s="71" t="n">
        <v>8</v>
      </c>
      <c r="C27" s="68" t="inlineStr">
        <is>
          <t>押中和：本金+8倍</t>
        </is>
      </c>
    </row>
    <row r="28">
      <c r="A28" s="66" t="inlineStr">
        <is>
          <t>莊/閒賠率（:1）</t>
        </is>
      </c>
      <c r="B28" s="71" t="n">
        <v>1</v>
      </c>
      <c r="C28" s="68" t="inlineStr">
        <is>
          <t>1:1</t>
        </is>
      </c>
    </row>
    <row r="29">
      <c r="A29" s="66" t="inlineStr">
        <is>
          <t>每局反水率</t>
        </is>
      </c>
      <c r="B29" s="72" t="n">
        <v>0.005</v>
      </c>
      <c r="C29" s="68" t="inlineStr">
        <is>
          <t>bet≥200精確；最低1星幣(小注等效更高)</t>
        </is>
      </c>
    </row>
    <row r="31">
      <c r="A31" s="58" t="inlineStr">
        <is>
          <t>④ 各注別 RTP（含本金）— 押注1單位的期望回收</t>
        </is>
      </c>
    </row>
    <row r="32" ht="30" customHeight="1" s="35">
      <c r="A32" s="59" t="inlineStr">
        <is>
          <t>注別</t>
        </is>
      </c>
      <c r="B32" s="59" t="inlineStr">
        <is>
          <t>贏派彩倍
(含本金)</t>
        </is>
      </c>
      <c r="C32" s="59" t="inlineStr">
        <is>
          <t>和局派彩倍</t>
        </is>
      </c>
      <c r="D32" s="59" t="inlineStr">
        <is>
          <t>RTP
(未計反水)</t>
        </is>
      </c>
      <c r="E32" s="59" t="inlineStr">
        <is>
          <t>RTP
(+反水)</t>
        </is>
      </c>
      <c r="F32" s="59" t="inlineStr">
        <is>
          <t>莊家優勢
(含反水)</t>
        </is>
      </c>
    </row>
    <row r="33">
      <c r="A33" s="66" t="inlineStr">
        <is>
          <t>押閒 PLAYER</t>
        </is>
      </c>
      <c r="B33" s="73" t="n">
        <v>2</v>
      </c>
      <c r="C33" s="73" t="n">
        <v>1</v>
      </c>
      <c r="D33" s="62">
        <f>B33*$B$20+C33*$B$21</f>
        <v/>
      </c>
      <c r="E33" s="74">
        <f>D33+$B$29</f>
        <v/>
      </c>
      <c r="F33" s="74">
        <f>1-E33</f>
        <v/>
      </c>
    </row>
    <row r="34">
      <c r="A34" s="66" t="inlineStr">
        <is>
          <t>押莊 BANKER</t>
        </is>
      </c>
      <c r="B34" s="75">
        <f>2-$B$26</f>
        <v/>
      </c>
      <c r="C34" s="73" t="n">
        <v>1</v>
      </c>
      <c r="D34" s="62">
        <f>B34*$B$19+C34*$B$21</f>
        <v/>
      </c>
      <c r="E34" s="74">
        <f>D34+$B$29</f>
        <v/>
      </c>
      <c r="F34" s="74">
        <f>1-E34</f>
        <v/>
      </c>
    </row>
    <row r="35">
      <c r="A35" s="66" t="inlineStr">
        <is>
          <t>押和 TIE</t>
        </is>
      </c>
      <c r="B35" s="75">
        <f>1+$B$27</f>
        <v/>
      </c>
      <c r="C35" s="73" t="n">
        <v>0</v>
      </c>
      <c r="D35" s="62">
        <f>B35*$B$21</f>
        <v/>
      </c>
      <c r="E35" s="74">
        <f>D35+$B$29</f>
        <v/>
      </c>
      <c r="F35" s="74">
        <f>1-E35</f>
        <v/>
      </c>
    </row>
    <row r="37">
      <c r="A37" s="58" t="inlineStr">
        <is>
          <t>⑤ 關鍵洞察（面試講得出來）</t>
        </is>
      </c>
    </row>
    <row r="38" ht="30" customHeight="1" s="35">
      <c r="A38" s="68" t="inlineStr">
        <is>
          <t>• 為何莊比閒好（即使扣5%傭金）：莊家後手，看到閒家第三張才決定補牌→P(莊)&gt;P(閒)，資訊優勢抵過傭金，故莊RTP(0.989)&gt;閒RTP(0.988)。</t>
        </is>
      </c>
    </row>
    <row r="39" ht="30" customHeight="1" s="35">
      <c r="A39" s="68" t="inlineStr">
        <is>
          <t>• 和局是最差的注：8:1 賠率下莊家優勢≈14%，遠高於莊/閒的≈1%。押和長期最傷本金。</t>
        </is>
      </c>
    </row>
    <row r="40" ht="30" customHeight="1" s="35">
      <c r="A40" s="68" t="inlineStr">
        <is>
          <t>• 和局時押莊/閒 push 退本金（非全輸）→ 大幅降低有效變異，這是百家樂莊/閒注低波動、適合穩健玩家的原因。</t>
        </is>
      </c>
    </row>
    <row r="41" ht="30" customHeight="1" s="35">
      <c r="A41" s="68" t="inlineStr">
        <is>
          <t>• 反水每局 +0.5%（bet≥200精確；最低1星幣，小注等效更高）→ 莊注含反水 RTP≈0.994，把莊家優勢壓到約 0.6%。</t>
        </is>
      </c>
    </row>
  </sheetData>
  <mergeCells count="19">
    <mergeCell ref="A41:F41"/>
    <mergeCell ref="A37:F37"/>
    <mergeCell ref="A3:F3"/>
    <mergeCell ref="C19:F19"/>
    <mergeCell ref="C28:F28"/>
    <mergeCell ref="A23:F23"/>
    <mergeCell ref="A17:F17"/>
    <mergeCell ref="A38:F38"/>
    <mergeCell ref="C20:F20"/>
    <mergeCell ref="C26:F26"/>
    <mergeCell ref="C29:F29"/>
    <mergeCell ref="A31:F31"/>
    <mergeCell ref="A40:F40"/>
    <mergeCell ref="A39:F39"/>
    <mergeCell ref="C22:F22"/>
    <mergeCell ref="A1:F1"/>
    <mergeCell ref="C21:F21"/>
    <mergeCell ref="C27:F27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26" customWidth="1" style="35" min="1" max="1"/>
    <col width="20" customWidth="1" style="35" min="2" max="2"/>
    <col width="16" customWidth="1" style="35" min="3" max="4"/>
    <col width="10" customWidth="1" style="35" min="5" max="5"/>
  </cols>
  <sheetData>
    <row r="1" ht="25.95" customHeight="1" s="35">
      <c r="A1" s="34" t="inlineStr">
        <is>
          <t>驗證報告（2026-06-30）— 三方交叉驗證 + 缺陷修復紀錄</t>
        </is>
      </c>
      <c r="B1" s="46" t="n"/>
      <c r="C1" s="46" t="n"/>
      <c r="D1" s="46" t="n"/>
      <c r="E1" s="43" t="n"/>
    </row>
    <row r="3">
      <c r="A3" s="41" t="inlineStr">
        <is>
          <t>① 三方數值交叉驗證（程式碼 / 獨立Python / Excel實算）</t>
        </is>
      </c>
      <c r="B3" s="46" t="n"/>
      <c r="C3" s="46" t="n"/>
      <c r="D3" s="46" t="n"/>
      <c r="E3" s="43" t="n"/>
    </row>
    <row r="4">
      <c r="A4" s="32" t="inlineStr">
        <is>
          <t>指標</t>
        </is>
      </c>
      <c r="B4" s="32" t="inlineStr">
        <is>
          <t>程式碼Javadoc</t>
        </is>
      </c>
      <c r="C4" s="32" t="inlineStr">
        <is>
          <t>Python</t>
        </is>
      </c>
      <c r="D4" s="32" t="inlineStr">
        <is>
          <t>Excel實算</t>
        </is>
      </c>
      <c r="E4" s="32" t="inlineStr">
        <is>
          <t>一致</t>
        </is>
      </c>
    </row>
    <row r="5">
      <c r="A5" s="2" t="inlineStr">
        <is>
          <t>老虎機 RTP</t>
        </is>
      </c>
      <c r="B5" s="5" t="inlineStr">
        <is>
          <t>≈93.8%</t>
        </is>
      </c>
      <c r="C5" s="5" t="inlineStr">
        <is>
          <t>0.93830</t>
        </is>
      </c>
      <c r="D5" s="5" t="inlineStr">
        <is>
          <t>0.93830</t>
        </is>
      </c>
      <c r="E5" s="33" t="inlineStr">
        <is>
          <t>✅</t>
        </is>
      </c>
    </row>
    <row r="6">
      <c r="A6" s="2" t="inlineStr">
        <is>
          <t>老虎機 命中率</t>
        </is>
      </c>
      <c r="B6" s="5" t="inlineStr">
        <is>
          <t>≈30.7%</t>
        </is>
      </c>
      <c r="C6" s="5" t="inlineStr">
        <is>
          <t>0.30681</t>
        </is>
      </c>
      <c r="D6" s="5" t="inlineStr">
        <is>
          <t>0.30681</t>
        </is>
      </c>
      <c r="E6" s="33" t="inlineStr">
        <is>
          <t>✅</t>
        </is>
      </c>
    </row>
    <row r="7">
      <c r="A7" s="2" t="inlineStr">
        <is>
          <t>老虎機 SD</t>
        </is>
      </c>
      <c r="B7" s="5" t="inlineStr">
        <is>
          <t>—</t>
        </is>
      </c>
      <c r="C7" s="5" t="inlineStr">
        <is>
          <t>2.3853</t>
        </is>
      </c>
      <c r="D7" s="5" t="inlineStr">
        <is>
          <t>2.3853</t>
        </is>
      </c>
      <c r="E7" s="33" t="inlineStr">
        <is>
          <t>✅</t>
        </is>
      </c>
    </row>
    <row r="8">
      <c r="A8" s="2" t="inlineStr">
        <is>
          <t>財神·金炮 pCapture</t>
        </is>
      </c>
      <c r="B8" s="5" t="inlineStr">
        <is>
          <t>≈0.44</t>
        </is>
      </c>
      <c r="C8" s="5" t="inlineStr">
        <is>
          <t>0.4493</t>
        </is>
      </c>
      <c r="D8" s="5" t="inlineStr">
        <is>
          <t>0.4493</t>
        </is>
      </c>
      <c r="E8" s="33" t="inlineStr">
        <is>
          <t>✅</t>
        </is>
      </c>
    </row>
    <row r="9">
      <c r="A9" s="2" t="inlineStr">
        <is>
          <t>捕魚 RTP驗證(每魚)</t>
        </is>
      </c>
      <c r="B9" s="5">
        <f>TARGET</f>
        <v/>
      </c>
      <c r="C9" s="5" t="inlineStr">
        <is>
          <t>0.96000</t>
        </is>
      </c>
      <c r="D9" s="5" t="inlineStr">
        <is>
          <t>0.96000</t>
        </is>
      </c>
      <c r="E9" s="33" t="inlineStr">
        <is>
          <t>✅</t>
        </is>
      </c>
    </row>
    <row r="11">
      <c r="A11" s="41" t="inlineStr">
        <is>
          <t>② 模型 ↔ 真實程式碼 對照</t>
        </is>
      </c>
      <c r="B11" s="46" t="n"/>
      <c r="C11" s="46" t="n"/>
      <c r="D11" s="46" t="n"/>
      <c r="E11" s="43" t="n"/>
    </row>
    <row r="12">
      <c r="A12" s="32" t="inlineStr">
        <is>
          <t>模型假設</t>
        </is>
      </c>
      <c r="B12" s="32" t="inlineStr">
        <is>
          <t>程式位置</t>
        </is>
      </c>
      <c r="C12" s="32" t="n"/>
      <c r="D12" s="32" t="n"/>
      <c r="E12" s="32" t="inlineStr">
        <is>
          <t>一致</t>
        </is>
      </c>
    </row>
    <row r="13">
      <c r="A13" s="2" t="inlineStr">
        <is>
          <t>三連 pᵢ³ → tripleMult</t>
        </is>
      </c>
      <c r="B13" s="5" t="inlineStr">
        <is>
          <t>SlotMachine.java:72</t>
        </is>
      </c>
      <c r="C13" s="5" t="n"/>
      <c r="D13" s="5" t="n"/>
      <c r="E13" s="33" t="inlineStr">
        <is>
          <t>✅</t>
        </is>
      </c>
    </row>
    <row r="14" ht="27.6" customHeight="1" s="35">
      <c r="A14" s="2" t="inlineStr">
        <is>
          <t>左二同 pᵢ²(1−pᵢ) → pairMult</t>
        </is>
      </c>
      <c r="B14" s="5" t="inlineStr">
        <is>
          <t>SlotMachine.java:76</t>
        </is>
      </c>
      <c r="C14" s="5" t="n"/>
      <c r="D14" s="5" t="n"/>
      <c r="E14" s="33" t="inlineStr">
        <is>
          <t>✅</t>
        </is>
      </c>
    </row>
    <row r="15">
      <c r="A15" s="2" t="inlineStr">
        <is>
          <t>右二同不賠</t>
        </is>
      </c>
      <c r="B15" s="5" t="inlineStr">
        <is>
          <t>SlotMachine.java:77</t>
        </is>
      </c>
      <c r="C15" s="5" t="n"/>
      <c r="D15" s="5" t="n"/>
      <c r="E15" s="33" t="inlineStr">
        <is>
          <t>✅</t>
        </is>
      </c>
    </row>
    <row r="16">
      <c r="A16" s="2" t="inlineStr">
        <is>
          <t>HP = mult×10</t>
        </is>
      </c>
      <c r="B16" s="5" t="inlineStr">
        <is>
          <t>FishSpecies.java:64</t>
        </is>
      </c>
      <c r="C16" s="5" t="n"/>
      <c r="D16" s="5" t="n"/>
      <c r="E16" s="33" t="inlineStr">
        <is>
          <t>✅</t>
        </is>
      </c>
    </row>
    <row r="17">
      <c r="A17" s="2" t="inlineStr">
        <is>
          <t>E[N] 含暴擊DP</t>
        </is>
      </c>
      <c r="B17" s="5" t="inlineStr">
        <is>
          <t>FishingCombat.java:126</t>
        </is>
      </c>
      <c r="C17" s="5" t="n"/>
      <c r="D17" s="5" t="n"/>
      <c r="E17" s="33" t="inlineStr">
        <is>
          <t>✅</t>
        </is>
      </c>
    </row>
    <row r="18" ht="27.6" customHeight="1" s="35">
      <c r="A18" s="2" t="inlineStr">
        <is>
          <t>pCapture=TARGET·E[N]/mult</t>
        </is>
      </c>
      <c r="B18" s="5" t="inlineStr">
        <is>
          <t>FishingCombat.java:190</t>
        </is>
      </c>
      <c r="C18" s="5" t="n"/>
      <c r="D18" s="5" t="n"/>
      <c r="E18" s="33" t="inlineStr">
        <is>
          <t>✅</t>
        </is>
      </c>
    </row>
    <row r="20">
      <c r="A20" s="41" t="inlineStr">
        <is>
          <t>③ 缺陷與修復狀態</t>
        </is>
      </c>
      <c r="B20" s="46" t="n"/>
      <c r="C20" s="46" t="n"/>
      <c r="D20" s="46" t="n"/>
      <c r="E20" s="43" t="n"/>
    </row>
    <row r="21">
      <c r="A21" s="32" t="inlineStr">
        <is>
          <t>缺陷</t>
        </is>
      </c>
      <c r="B21" s="32" t="inlineStr">
        <is>
          <t>說明</t>
        </is>
      </c>
      <c r="C21" s="32" t="inlineStr">
        <is>
          <t>修復</t>
        </is>
      </c>
      <c r="D21" s="32" t="inlineStr">
        <is>
          <t>驗證</t>
        </is>
      </c>
      <c r="E21" s="32" t="inlineStr">
        <is>
          <t>狀態</t>
        </is>
      </c>
    </row>
    <row r="22">
      <c r="A22" s="2" t="inlineStr">
        <is>
          <t>B1 DP範圍越界</t>
        </is>
      </c>
      <c r="B22" s="5" t="inlineStr">
        <is>
          <t>傷害低→units&gt;260→#REF!</t>
        </is>
      </c>
      <c r="C22" s="5" t="inlineStr">
        <is>
          <t>延長至r=800</t>
        </is>
      </c>
      <c r="D22" s="5" t="inlineStr">
        <is>
          <t>銅炮=5龍王不再#REF!</t>
        </is>
      </c>
      <c r="E22" s="33" t="inlineStr">
        <is>
          <t>✅</t>
        </is>
      </c>
    </row>
    <row r="23">
      <c r="A23" s="2" t="inlineStr">
        <is>
          <t>L1 RECOVERY死輸入</t>
        </is>
      </c>
      <c r="B23" s="5" t="inlineStr">
        <is>
          <t>回收率沒接進計算</t>
        </is>
      </c>
      <c r="C23" s="5" t="inlineStr">
        <is>
          <t>加體感RTP區間</t>
        </is>
      </c>
      <c r="D23" s="5" t="inlineStr">
        <is>
          <t>q=.85→92.1%</t>
        </is>
      </c>
      <c r="E23" s="33" t="inlineStr">
        <is>
          <t>✅</t>
        </is>
      </c>
    </row>
    <row r="24">
      <c r="A24" s="2" t="inlineStr">
        <is>
          <t>L4 無捕魚變異</t>
        </is>
      </c>
      <c r="B24" s="5" t="inlineStr">
        <is>
          <t>搖錢樹變異未現</t>
        </is>
      </c>
      <c r="C24" s="5" t="inlineStr">
        <is>
          <t>加捕獲倍率欄</t>
        </is>
      </c>
      <c r="D24" s="5" t="inlineStr">
        <is>
          <t>SD≈11.83標注</t>
        </is>
      </c>
      <c r="E24" s="33" t="inlineStr">
        <is>
          <t>✅</t>
        </is>
      </c>
    </row>
    <row r="25">
      <c r="A25" s="2" t="inlineStr">
        <is>
          <t>L2/L3 說明不足</t>
        </is>
      </c>
      <c r="B25" s="5" t="inlineStr">
        <is>
          <t>設計vs實際/自洽檢查</t>
        </is>
      </c>
      <c r="C25" s="5" t="inlineStr">
        <is>
          <t>本報告+註解</t>
        </is>
      </c>
      <c r="D25" s="5" t="inlineStr">
        <is>
          <t>已文件化</t>
        </is>
      </c>
      <c r="E25" s="33" t="inlineStr">
        <is>
          <t>✅</t>
        </is>
      </c>
    </row>
    <row r="27">
      <c r="A27" s="42" t="inlineStr">
        <is>
          <t>方法：① 讀真實 Java 引擎取理論值；② 手寫 Python 獨立重算；③ formulas 函式庫實際求值 xlsx 公式。三條路徑互不相依，全部吻合。</t>
        </is>
      </c>
    </row>
    <row r="29">
      <c r="A29" s="58" t="inlineStr">
        <is>
          <t>④ 百家樂新增驗證（2026-07-01）— 三方機率/RTP + 程式對照</t>
        </is>
      </c>
    </row>
    <row r="30">
      <c r="A30" s="76" t="inlineStr">
        <is>
          <t>指標</t>
        </is>
      </c>
      <c r="B30" s="76" t="inlineStr">
        <is>
          <t>程式碼</t>
        </is>
      </c>
      <c r="C30" s="76" t="inlineStr">
        <is>
          <t>Python枚舉</t>
        </is>
      </c>
      <c r="D30" s="76" t="inlineStr">
        <is>
          <t>Excel實算</t>
        </is>
      </c>
      <c r="E30" s="76" t="inlineStr">
        <is>
          <t>一致</t>
        </is>
      </c>
    </row>
    <row r="31">
      <c r="A31" t="inlineStr">
        <is>
          <t>P(莊)</t>
        </is>
      </c>
      <c r="B31" s="60" t="inlineStr">
        <is>
          <t>—</t>
        </is>
      </c>
      <c r="C31" s="60" t="inlineStr">
        <is>
          <t>0.458428</t>
        </is>
      </c>
      <c r="D31" s="77">
        <f>百家樂!B19</f>
        <v/>
      </c>
      <c r="E31" s="60" t="inlineStr">
        <is>
          <t>✅</t>
        </is>
      </c>
    </row>
    <row r="32">
      <c r="A32" t="inlineStr">
        <is>
          <t>P(閒)</t>
        </is>
      </c>
      <c r="B32" s="60" t="inlineStr">
        <is>
          <t>—</t>
        </is>
      </c>
      <c r="C32" s="60" t="inlineStr">
        <is>
          <t>0.446147</t>
        </is>
      </c>
      <c r="D32" s="77">
        <f>百家樂!B20</f>
        <v/>
      </c>
      <c r="E32" s="60" t="inlineStr">
        <is>
          <t>✅</t>
        </is>
      </c>
    </row>
    <row r="33">
      <c r="A33" t="inlineStr">
        <is>
          <t>P(和)</t>
        </is>
      </c>
      <c r="B33" s="60" t="inlineStr">
        <is>
          <t>—</t>
        </is>
      </c>
      <c r="C33" s="60" t="inlineStr">
        <is>
          <t>0.095426</t>
        </is>
      </c>
      <c r="D33" s="77">
        <f>百家樂!B21</f>
        <v/>
      </c>
      <c r="E33" s="60" t="inlineStr">
        <is>
          <t>✅</t>
        </is>
      </c>
    </row>
    <row r="34">
      <c r="A34" t="inlineStr">
        <is>
          <t>押莊 RTP</t>
        </is>
      </c>
      <c r="B34" s="60" t="inlineStr">
        <is>
          <t>≈0.99(雷17)</t>
        </is>
      </c>
      <c r="C34" s="60" t="inlineStr">
        <is>
          <t>0.98936</t>
        </is>
      </c>
      <c r="D34" s="77">
        <f>百家樂!D34</f>
        <v/>
      </c>
      <c r="E34" s="60" t="inlineStr">
        <is>
          <t>✅</t>
        </is>
      </c>
    </row>
    <row r="35">
      <c r="A35" t="inlineStr">
        <is>
          <t>押閒 RTP</t>
        </is>
      </c>
      <c r="B35" s="60" t="inlineStr">
        <is>
          <t>—</t>
        </is>
      </c>
      <c r="C35" s="60" t="inlineStr">
        <is>
          <t>0.98772</t>
        </is>
      </c>
      <c r="D35" s="77">
        <f>百家樂!D33</f>
        <v/>
      </c>
      <c r="E35" s="60" t="inlineStr">
        <is>
          <t>✅</t>
        </is>
      </c>
    </row>
    <row r="36">
      <c r="A36" t="inlineStr">
        <is>
          <t>押和 RTP</t>
        </is>
      </c>
      <c r="B36" s="60" t="inlineStr">
        <is>
          <t>—</t>
        </is>
      </c>
      <c r="C36" s="60" t="inlineStr">
        <is>
          <t>0.85883</t>
        </is>
      </c>
      <c r="D36" s="77">
        <f>百家樂!D35</f>
        <v/>
      </c>
      <c r="E36" s="60" t="inlineStr">
        <is>
          <t>✅</t>
        </is>
      </c>
    </row>
    <row r="38">
      <c r="A38" s="58" t="inlineStr">
        <is>
          <t>⑤ 百家樂 模型 ↔ 程式碼 對照</t>
        </is>
      </c>
    </row>
    <row r="39">
      <c r="A39" s="76" t="inlineStr">
        <is>
          <t>模型假設</t>
        </is>
      </c>
      <c r="B39" s="76" t="inlineStr">
        <is>
          <t>程式位置</t>
        </is>
      </c>
      <c r="E39" s="76" t="inlineStr">
        <is>
          <t>一致</t>
        </is>
      </c>
    </row>
    <row r="40">
      <c r="A40" t="inlineStr">
        <is>
          <t>莊補牌條件規則</t>
        </is>
      </c>
      <c r="B40" t="inlineStr">
        <is>
          <t>BaccaratGameService.java:112</t>
        </is>
      </c>
      <c r="E40" s="60" t="inlineStr">
        <is>
          <t>✅</t>
        </is>
      </c>
    </row>
    <row r="41">
      <c r="A41" t="inlineStr">
        <is>
          <t>莊贏扣5%傭金</t>
        </is>
      </c>
      <c r="B41" t="inlineStr">
        <is>
          <t>BaccaratGameService.java:206</t>
        </is>
      </c>
      <c r="E41" s="60" t="inlineStr">
        <is>
          <t>✅</t>
        </is>
      </c>
    </row>
    <row r="42">
      <c r="A42" t="inlineStr">
        <is>
          <t>和8:1 / 和局push退本金</t>
        </is>
      </c>
      <c r="B42" t="inlineStr">
        <is>
          <t>BaccaratGameService.java:197/200</t>
        </is>
      </c>
      <c r="E42" s="60" t="inlineStr">
        <is>
          <t>✅</t>
        </is>
      </c>
    </row>
    <row r="43">
      <c r="A43" t="inlineStr">
        <is>
          <t>每局反水0.5%(min1)</t>
        </is>
      </c>
      <c r="B43" t="inlineStr">
        <is>
          <t>BaccaratService.java:191</t>
        </is>
      </c>
      <c r="E43" s="60" t="inlineStr">
        <is>
          <t>✅</t>
        </is>
      </c>
    </row>
    <row r="44">
      <c r="A44" t="inlineStr">
        <is>
          <t>牌值 A=1、10~K=0</t>
        </is>
      </c>
      <c r="B44" t="inlineStr">
        <is>
          <t>Card.java value()</t>
        </is>
      </c>
      <c r="E44" s="60" t="inlineStr">
        <is>
          <t>✅</t>
        </is>
      </c>
    </row>
    <row r="46">
      <c r="A46" s="68" t="inlineStr">
        <is>
          <t>方法：Python 以加權精確枚舉（非蒙地卡羅）鏡像補牌規則，三方機率合計=1；莊家優勢(莊1.06%/閒1.23%/和14.1%)與教科書吻合。Excel實算欄以公式引用『百家樂』分頁即時重算。</t>
        </is>
      </c>
    </row>
  </sheetData>
  <mergeCells count="13">
    <mergeCell ref="B42:D42"/>
    <mergeCell ref="A29:E29"/>
    <mergeCell ref="A20:E20"/>
    <mergeCell ref="A38:E38"/>
    <mergeCell ref="B41:D41"/>
    <mergeCell ref="A11:E11"/>
    <mergeCell ref="B40:D40"/>
    <mergeCell ref="A1:E1"/>
    <mergeCell ref="A46:E46"/>
    <mergeCell ref="B44:D44"/>
    <mergeCell ref="B43:D43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2026-06-30T07:37:25Z</dcterms:created>
  <dcterms:modified xsi:type="dcterms:W3CDTF">2026-07-01T01:31:11Z</dcterms:modified>
  <cp:lastModifiedBy>User</cp:lastModifiedBy>
</cp:coreProperties>
</file>